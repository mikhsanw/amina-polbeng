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HOME" sheetId="1" r:id="rId5"/>
    <sheet state="visible" name="31_USER_SESSIONS" sheetId="2" r:id="rId6"/>
    <sheet state="hidden" name="32_AUDIT_PERIODS" sheetId="3" r:id="rId7"/>
    <sheet state="hidden" name="33_NOTIFICATIONS" sheetId="4" r:id="rId8"/>
    <sheet state="hidden" name="34_SYSTEM_LOG" sheetId="5" r:id="rId9"/>
    <sheet state="visible" name="01_CONFIG" sheetId="6" r:id="rId10"/>
    <sheet state="visible" name="02_AUDIT_FILE_REGISTRY" sheetId="7" r:id="rId11"/>
    <sheet state="visible" name="03_AUDIT_SHEET_TEMPLATE" sheetId="8" r:id="rId12"/>
    <sheet state="visible" name="04_AUDIT_FIELD_TEMPLATE" sheetId="9" r:id="rId13"/>
    <sheet state="visible" name="05_ROLES" sheetId="10" r:id="rId14"/>
    <sheet state="visible" name="06_PERMISSIONS" sheetId="11" r:id="rId15"/>
    <sheet state="visible" name="07_ROLE_PERMISSION" sheetId="12" r:id="rId16"/>
    <sheet state="visible" name="08_MENU_CONFIG" sheetId="13" r:id="rId17"/>
    <sheet state="visible" name="09_FORM_SCHEMA" sheetId="14" r:id="rId18"/>
    <sheet state="visible" name="10_WORKFLOW" sheetId="15" r:id="rId19"/>
    <sheet state="visible" name="11_STATUS_TRANS" sheetId="16" r:id="rId20"/>
    <sheet state="visible" name="12_UNITS" sheetId="17" r:id="rId21"/>
    <sheet state="visible" name="13_UNIT_FUNCTIONS" sheetId="18" r:id="rId22"/>
    <sheet state="visible" name="14_STANDARDS" sheetId="19" r:id="rId23"/>
    <sheet state="visible" name="15_ISO_CLAUSES" sheetId="20" r:id="rId24"/>
    <sheet state="visible" name="16_REQUIREMENTS" sheetId="21" r:id="rId25"/>
    <sheet state="visible" name="17_QUESTION_BANK" sheetId="22" r:id="rId26"/>
    <sheet state="visible" name="18_Q_UNIT_MAP" sheetId="23" r:id="rId27"/>
    <sheet state="visible" name="19_SCORING_RULES" sheetId="24" r:id="rId28"/>
    <sheet state="visible" name="20_EVIDENCE_TYPES" sheetId="25" r:id="rId29"/>
    <sheet state="visible" name="21_LOOKUPS" sheetId="26" r:id="rId30"/>
    <sheet state="visible" name="22_NOTIFICATION_RULES" sheetId="27" r:id="rId31"/>
    <sheet state="visible" name="23_SYSTEM_EVENTS" sheetId="28" r:id="rId32"/>
    <sheet state="visible" name="24_Q_REQUIREMENT_MAP" sheetId="29" r:id="rId33"/>
    <sheet state="visible" name="25_PRINT_TEMPLATES" sheetId="30" r:id="rId34"/>
    <sheet state="visible" name="26_FOLDER_RULES" sheetId="31" r:id="rId35"/>
    <sheet state="visible" name="27_USERS" sheetId="32" r:id="rId36"/>
    <sheet state="visible" name="28_INTERNAL_STANDARDS" sheetId="33" r:id="rId37"/>
    <sheet state="visible" name="29_FUNCTION_STANDARD_MAP" sheetId="34" r:id="rId38"/>
    <sheet state="visible" name="30_AUDIT_MATRIX" sheetId="35" r:id="rId39"/>
  </sheets>
  <definedNames>
    <definedName hidden="1" localSheetId="1" name="_xlnm._FilterDatabase">'31_USER_SESSIONS'!$A$1:$O$1000</definedName>
    <definedName hidden="1" localSheetId="2" name="_xlnm._FilterDatabase">'32_AUDIT_PERIODS'!$A$1:$M$1000</definedName>
    <definedName hidden="1" localSheetId="3" name="_xlnm._FilterDatabase">'33_NOTIFICATIONS'!$A$1:$P$1000</definedName>
    <definedName hidden="1" localSheetId="4" name="_xlnm._FilterDatabase">'34_SYSTEM_LOG'!$A$1:$P$1000</definedName>
    <definedName hidden="1" localSheetId="28" name="_xlnm._FilterDatabase">'24_Q_REQUIREMENT_MAP'!$A$1:$L$251</definedName>
    <definedName hidden="1" localSheetId="31" name="_xlnm._FilterDatabase">'27_USERS'!$A$1:$U$500</definedName>
    <definedName hidden="1" localSheetId="32" name="_xlnm._FilterDatabase">'28_INTERNAL_STANDARDS'!$A$1:$N$26</definedName>
    <definedName hidden="1" localSheetId="33" name="_xlnm._FilterDatabase">'29_FUNCTION_STANDARD_MAP'!$A$1:$I$43</definedName>
    <definedName hidden="1" localSheetId="34" name="_xlnm._FilterDatabase">'30_AUDIT_MATRIX'!$A$1:$T$251</definedName>
  </definedNames>
  <calcPr/>
</workbook>
</file>

<file path=xl/sharedStrings.xml><?xml version="1.0" encoding="utf-8"?>
<sst xmlns="http://schemas.openxmlformats.org/spreadsheetml/2006/main" count="15704" uniqueCount="4094">
  <si>
    <t>SAMI-NONAK POLBENG — GOOGLE SHEET SISTEM</t>
  </si>
  <si>
    <t>Pusat aturan audit: kriteria mutu Permendiktisaintek 39/2025 dan pengendalian proses ISO 9001:2015</t>
  </si>
  <si>
    <t>KPI SISTEM</t>
  </si>
  <si>
    <t>Nilai</t>
  </si>
  <si>
    <t>ARSITEKTUR FINAL</t>
  </si>
  <si>
    <t>Unit aktif</t>
  </si>
  <si>
    <t>24</t>
  </si>
  <si>
    <t>1. Google Sheet Sistem</t>
  </si>
  <si>
    <t>Konfigurasi, akun, unit, tupoksi, standar, pertanyaan default, workflow, dan template</t>
  </si>
  <si>
    <t>Fungsi unit</t>
  </si>
  <si>
    <t>42</t>
  </si>
  <si>
    <t>2. Folder Tahun Audit</t>
  </si>
  <si>
    <t>Folder induk untuk seluruh audit pada satu tahun</t>
  </si>
  <si>
    <t>Klausul ISO proses</t>
  </si>
  <si>
    <t>43</t>
  </si>
  <si>
    <t>3. Folder Unit-Tahun</t>
  </si>
  <si>
    <t>Nama folder: {unit_slug}_{audit_year}</t>
  </si>
  <si>
    <t>Butir audit default</t>
  </si>
  <si>
    <t>250</t>
  </si>
  <si>
    <t>4. Google Sheet Unit-Tahun</t>
  </si>
  <si>
    <t>Seluruh transaksi auditee dan auditor disimpan pada file {unit_slug}_{audit_year}</t>
  </si>
  <si>
    <t>File transaksi pusat</t>
  </si>
  <si>
    <t>0</t>
  </si>
  <si>
    <t>5. Folder EVIDENCE</t>
  </si>
  <si>
    <t>Berkas lampiran; metadata dan tautan berada pada tab 03_BUKTI</t>
  </si>
  <si>
    <t>Dasar mutu aktif</t>
  </si>
  <si>
    <t>Permendiktisaintek 39/2025</t>
  </si>
  <si>
    <t>6. Folder CETAK</t>
  </si>
  <si>
    <t>PDF instrumen, berita acara, laporan, temuan, tindak lanjut, dan verifikasi</t>
  </si>
  <si>
    <t>Pendekatan proses</t>
  </si>
  <si>
    <t>ISO 9001:2015 + Amd 1:2024</t>
  </si>
  <si>
    <t>7. Registry Sistem</t>
  </si>
  <si>
    <t>Hanya menyimpan ID, URL, unit, tahun, status, dan versi file audit</t>
  </si>
  <si>
    <t>PRINSIP RANCANGAN YANG WAJIB DIPERTAHANKAN</t>
  </si>
  <si>
    <t>A</t>
  </si>
  <si>
    <t>Sheet Sistem tidak menyimpan jawaban auditee, kertas kerja auditor, bukti, temuan, tindak lanjut, atau verifikasi.</t>
  </si>
  <si>
    <t>B</t>
  </si>
  <si>
    <t>Satu unit pada satu tahun audit menggunakan satu Google Sheet transaksi bernama {unit_slug}_{audit_year}.</t>
  </si>
  <si>
    <t>C</t>
  </si>
  <si>
    <t>Pertanyaan default berasal dari Sheet Sistem; salinan kerja dan seluruh revisinya berada pada file audit unit-tahun.</t>
  </si>
  <si>
    <t>D</t>
  </si>
  <si>
    <t>Instrumen tanpa perubahan auditor langsung diterbitkan; instrumen yang diubah wajib disetujui Verifikator/P4MP.</t>
  </si>
  <si>
    <t>E</t>
  </si>
  <si>
    <t>Kriteria audit memuat dua dimensi: regulasi/standar mutu dan klausul ISO untuk pengendalian proses bisnis.</t>
  </si>
  <si>
    <t>F</t>
  </si>
  <si>
    <t>Versi cetak disimpan sebagai PDF di folder CETAK dalam folder audit unit-tahun.</t>
  </si>
  <si>
    <t>Standar internal rancangan</t>
  </si>
  <si>
    <t>Fungsi unit terpetakan</t>
  </si>
  <si>
    <t>Butir matriks audit</t>
  </si>
  <si>
    <t>Status matriks</t>
  </si>
  <si>
    <t>COMPLETE — 2026-D1</t>
  </si>
  <si>
    <t>session_id</t>
  </si>
  <si>
    <t>user_id</t>
  </si>
  <si>
    <t>token_hash</t>
  </si>
  <si>
    <t>session_status</t>
  </si>
  <si>
    <t>created_at</t>
  </si>
  <si>
    <t>expires_at</t>
  </si>
  <si>
    <t>last_activity_at</t>
  </si>
  <si>
    <t>revoked_at</t>
  </si>
  <si>
    <t>_created_at</t>
  </si>
  <si>
    <t>_created_by</t>
  </si>
  <si>
    <t>_updated_at</t>
  </si>
  <si>
    <t>_updated_by</t>
  </si>
  <si>
    <t>_row_version</t>
  </si>
  <si>
    <t>_deleted_at</t>
  </si>
  <si>
    <t>_deleted_by</t>
  </si>
  <si>
    <t>_spreadsheet_id</t>
  </si>
  <si>
    <t>_audit_id</t>
  </si>
  <si>
    <t>c1b1802e-9c8b-4706-af9d-b8f61514c02c</t>
  </si>
  <si>
    <t>c73c3a59-8171-440d-b344-a86905adf9ae</t>
  </si>
  <si>
    <t>5ec4931eed0d334914cfcaf7c5306bb4e27651ad618d274de8ef96f18560f85d</t>
  </si>
  <si>
    <t>REVOKED</t>
  </si>
  <si>
    <t>admin</t>
  </si>
  <si>
    <t>a4a27afc-b675-4520-b393-460eb9053a12</t>
  </si>
  <si>
    <t>659d9adb91d48b309534bdcf640889e614c959900d422585815d902ab74feb14</t>
  </si>
  <si>
    <t>SYSTEM</t>
  </si>
  <si>
    <t>f25e1dce-0784-4337-bd81-d6c40005f90f</t>
  </si>
  <si>
    <t>cfb22fc1-09e4-486e-a3aa-52ff8c9534a5</t>
  </si>
  <si>
    <t>ce6ccf25b93e23f0ddeb33983f94b10f80b1213cbc4ae12b2cd9159b7b7c2766</t>
  </si>
  <si>
    <t>p3m-polbeng</t>
  </si>
  <si>
    <t>47626f56-ca1d-40e7-b47a-02fccc7f8e40</t>
  </si>
  <si>
    <t>4769c65d-0d21-4afe-b675-847b63df9c64</t>
  </si>
  <si>
    <t>f3e484e237c3bf54770183c4ed5bdb17be07d12b65dd1889bfc38bcb1490f5f3</t>
  </si>
  <si>
    <t>hardi-1234</t>
  </si>
  <si>
    <t>57b45546-4f5a-47c4-84cf-69ebc5d5713e</t>
  </si>
  <si>
    <t>164fa8e7fb13b447c0db5926cda085e344d638b662353e861fe2f34f5e57878d</t>
  </si>
  <si>
    <t>f2499049-2c9d-430b-9198-5b83ef0e0496</t>
  </si>
  <si>
    <t>ba12eb61606c9d157022e62572dc667ba856dd43db176e61712025c5fd581c61</t>
  </si>
  <si>
    <t>ACTIVE</t>
  </si>
  <si>
    <t>period_id</t>
  </si>
  <si>
    <t>period_code</t>
  </si>
  <si>
    <t>period_name</t>
  </si>
  <si>
    <t>start_date</t>
  </si>
  <si>
    <t>end_date</t>
  </si>
  <si>
    <t>status</t>
  </si>
  <si>
    <t>c5cadec3-070e-469a-919b-6ff404b14afb</t>
  </si>
  <si>
    <t>PER-2026</t>
  </si>
  <si>
    <t>Periode Audit 2026</t>
  </si>
  <si>
    <t>notification_id</t>
  </si>
  <si>
    <t>rule_code</t>
  </si>
  <si>
    <t>recipient_user_id</t>
  </si>
  <si>
    <t>recipient_username</t>
  </si>
  <si>
    <t>subject</t>
  </si>
  <si>
    <t>message</t>
  </si>
  <si>
    <t>send_status</t>
  </si>
  <si>
    <t>scheduled_at</t>
  </si>
  <si>
    <t>sent_at</t>
  </si>
  <si>
    <t>aa6a9c03-c19e-460f-b7b2-e706df59d4af</t>
  </si>
  <si>
    <t>NTF_AUDIT_PLANNED</t>
  </si>
  <si>
    <t>Program audit AUD-2026-00001 telah dijadwalkan</t>
  </si>
  <si>
    <t>Audit AMI NA  untuk Pusat Penelitian dan Pengabdian kepada Masyarakat dijadwalkan 2026-07-20–2026-07-21.</t>
  </si>
  <si>
    <t>SENT</t>
  </si>
  <si>
    <t>b1c6d2bb-42d1-4992-9937-fac491b665c1</t>
  </si>
  <si>
    <t>daf56c56-92fb-4e58-bf3f-60991dc4ae06</t>
  </si>
  <si>
    <t>NTF_INSTRUMENT_REVIEW</t>
  </si>
  <si>
    <t>Instrumen menunggu telaah auditor</t>
  </si>
  <si>
    <t>Periksa seluruh pertanyaan default pada audit AUD-2026-00001.</t>
  </si>
  <si>
    <t>log_id</t>
  </si>
  <si>
    <t>event_time</t>
  </si>
  <si>
    <t>actor_username</t>
  </si>
  <si>
    <t>action_code</t>
  </si>
  <si>
    <t>entity_type</t>
  </si>
  <si>
    <t>entity_id</t>
  </si>
  <si>
    <t>old_value_json</t>
  </si>
  <si>
    <t>new_value_json</t>
  </si>
  <si>
    <t>result</t>
  </si>
  <si>
    <t>username</t>
  </si>
  <si>
    <t>role_code</t>
  </si>
  <si>
    <t>3fb3e03e-abea-40d4-acf3-a47bf102751b</t>
  </si>
  <si>
    <t>SYSTEM_INITIALIZED</t>
  </si>
  <si>
    <t>1J_32KxE3BsaXJVNxAk54A7XsLVvuV5PcV5UVaYZl68A</t>
  </si>
  <si>
    <t>{"ok":true,"checks":[{"name":"Google Sheet Sistem","ok":true,"detail":"SAMI-NONAK Polbeng - Google Sheet Sistem"},{"name":"Konfigurasi arsitektur","ok":true,"detail":"per unit dan tahun"},{"name":"Master utama","ok":true,"detail":"lengkap"},{"name":"Matriks audit","ok":true,"detail":"250 pertanyaan"},{"name":"Folder aplikasi","ok":true,"detail":"SAMI-NONAK Polbeng"},{"name":"Akun administrator","ok":true,"detail":"admin"},{"name":"Registry file audit","ok":true,"detail":"0 file terdaftar"},{"name":"Sheet teknis","ok":true,"detail":"lengkap"}],"timestamp":"2026-07-19T08:28:08+07:00","architecture":"PER_UNIT_YEAR_SPREADSHEET","repairs":["Konfigurasi arsitektur per-unit-per-tahun diperbarui"],"repairedAuditFiles":[],"rootFolderUrl":"https://drive.google.com/drive/folders/1bavSo7fYdE8p4rrMnGVAsGYmjLtWHCSs","backupFolderUrl":"https://drive.google.com/drive/folders/1JbEl9cRfltUxJUq13_HpCON4Y7uBZuTB","defaultAdmin":{"username":"admin","password":"Admin123"}}</t>
  </si>
  <si>
    <t>SUCCESS</t>
  </si>
  <si>
    <t>01dc035a-7294-4c70-9de2-c5881692114e</t>
  </si>
  <si>
    <t>API_auth.login</t>
  </si>
  <si>
    <t>API</t>
  </si>
  <si>
    <t>{"error":"Username atau password tidak sesuai."}</t>
  </si>
  <si>
    <t>FAILED</t>
  </si>
  <si>
    <t>8ad8b83a-96d7-4fc2-aa3b-a80f5a7db42b</t>
  </si>
  <si>
    <t>LOGIN</t>
  </si>
  <si>
    <t>USER</t>
  </si>
  <si>
    <t>{"username":"admin"}</t>
  </si>
  <si>
    <t>c92a33c5-7a7e-4a79-9926-94bf77df1a5a</t>
  </si>
  <si>
    <t>UPDATE</t>
  </si>
  <si>
    <t>USERS</t>
  </si>
  <si>
    <t>{"_sheet_row":3,"user_id":"c73c3a59-8171-440d-b344-a86905adf9ae","username":"admin","password":"[REDACTED]","full_name":"Administrator SAMI-NONAK","unit_id":"UNIT-POLBENG","role_codes":"SUPER_ADMIN","status":"ACTIVE","must_change_password":true,"failed_login_count":0,"locked_until":"","last_login_at":"2026-07-19T08:32:07+07:00","created_at":"2026-07-19T08:27:53+07:00","updated_at":"2026-07-19T08:32:09+07:00","notes":"Akun awal dibuat oleh initSystem()","_created_at":"2026-07-19T08:27:53+07:00","_created_by":"SYSTEM","_updated_at":"2026-07-19T08:32:09+07:00","_updated_by":"admin","_row_version":3,"_deleted_at":"","_deleted_by":"","_spreadsheet_id":"1J_32KxE3BsaXJVNxAk54A7XsLVvuV5PcV5UVaYZl68A","_audit_id":""}</t>
  </si>
  <si>
    <t>{"_sheet_row":3,"user_id":"c73c3a59-8171-440d-b344-a86905adf9ae","username":"admin","password":"[REDACTED]","full_name":"Administrator SAMI-NONAK","unit_id":"UNIT-POLBENG","role_codes":"SUPER_ADMIN","status":"ACTIVE","must_change_password":false,"failed_login_count":0,"locked_until":"","last_login_at":"2026-07-19T08:32:07+07:00","created_at":"2026-07-19T08:27:53+07:00","updated_at":"2026-07-19T08:33:32+07:00","notes":"Akun awal dibuat oleh initSystem()","_created_at":"2026-07-19T08:27:53+07:00","_created_by":"SYSTEM","_updated_at":"2026-07-19T08:33:32+07:00","_updated_by":"admin","_row_version":4,"_deleted_at":"","_deleted_by":"","_spreadsheet_id":"1J_32KxE3BsaXJVNxAk54A7XsLVvuV5PcV5UVaYZl68A","_audit_id":""}</t>
  </si>
  <si>
    <t>414854ec-6e9a-4e79-b2d4-69df9eb88d15</t>
  </si>
  <si>
    <t>API_auth.changePassword</t>
  </si>
  <si>
    <t>{"error":"Password lama tidak sesuai."}</t>
  </si>
  <si>
    <t>583bb483-a729-4db4-8425-7e8e692d6f97</t>
  </si>
  <si>
    <t>{"_sheet_row":3,"user_id":"c73c3a59-8171-440d-b344-a86905adf9ae","username":"admin","password":"[REDACTED]","full_name":"Administrator SAMI-NONAK","unit_id":"UNIT-POLBENG","role_codes":"SUPER_ADMIN","status":"ACTIVE","must_change_password":false,"failed_login_count":0,"locked_until":"","last_login_at":"2026-07-19T08:32:07+07:00","created_at":"2026-07-19T08:27:53+07:00","updated_at":"2026-07-19T08:33:45+07:00","notes":"Akun awal dibuat oleh initSystem()","_created_at":"2026-07-19T08:27:53+07:00","_created_by":"SYSTEM","_updated_at":"2026-07-19T08:33:45+07:00","_updated_by":"admin","_row_version":5,"_deleted_at":"","_deleted_by":"","_spreadsheet_id":"1J_32KxE3BsaXJVNxAk54A7XsLVvuV5PcV5UVaYZl68A","_audit_id":""}</t>
  </si>
  <si>
    <t>65a54120-bf3a-416a-8d10-3e066ce0f4ee</t>
  </si>
  <si>
    <t>5227bce6-f750-4595-b991-3f00f505a377</t>
  </si>
  <si>
    <t>CREATE</t>
  </si>
  <si>
    <t>{"_sheet_row":4,"user_id":"cfb22fc1-09e4-486e-a3aa-52ff8c9534a5","username":"p3m-polbeng","password":"[REDACTED]","full_name":"P3M","unit_id":"UNIT-P3M","role_codes":"KEPALA_UNIT","status":"ACTIVE","must_change_password":false,"failed_login_count":0,"locked_until":"","last_login_at":"","created_at":"2026-07-19T08:38:52+07:00","updated_at":"2026-07-19T08:38:52+07:00","notes":"","_created_at":"2026-07-19T08:38:52+07:00","_created_by":"admin","_updated_at":"2026-07-19T08:38:52+07:00","_updated_by":"admin","_row_version":1,"_deleted_at":"","_deleted_by":"","_spreadsheet_id":"1J_32KxE3BsaXJVNxAk54A7XsLVvuV5PcV5UVaYZl68A","_audit_id":""}</t>
  </si>
  <si>
    <t>b8b47ae8-4591-4bbb-bc81-d36a9b7c5384</t>
  </si>
  <si>
    <t>{"_sheet_row":4,"user_id":"cfb22fc1-09e4-486e-a3aa-52ff8c9534a5","username":"p3m-polbeng","password":"[REDACTED]","full_name":"P3M","unit_id":"UNIT-P3M","role_codes":"AUDITEE|KEPALA_UNIT","status":"ACTIVE","must_change_password":false,"failed_login_count":0,"locked_until":"","last_login_at":"","created_at":"2026-07-19T08:38:52+07:00","updated_at":"2026-07-19T08:40:55+07:00","notes":"","_created_at":"2026-07-19T08:38:52+07:00","_created_by":"admin","_updated_at":"2026-07-19T08:40:55+07:00","_updated_by":"admin","_row_version":2,"_deleted_at":"","_deleted_by":"","_spreadsheet_id":"1J_32KxE3BsaXJVNxAk54A7XsLVvuV5PcV5UVaYZl68A","_audit_id":""}</t>
  </si>
  <si>
    <t>8a22ee93-4f5a-4c1a-ac22-ab052f48a8ed</t>
  </si>
  <si>
    <t>{"_sheet_row":5,"user_id":"4769c65d-0d21-4afe-b675-847b63df9c64","username":"hardi-1234","password":"[REDACTED]","full_name":"Dr. Hardiyanto, M.Si","unit_id":"UNIT-P4MP","role_codes":"KETUA_AUDITOR","status":"ACTIVE","must_change_password":false,"failed_login_count":0,"locked_until":"","last_login_at":"","created_at":"2026-07-19T08:42:30+07:00","updated_at":"2026-07-19T08:42:30+07:00","notes":"","_created_at":"2026-07-19T08:42:30+07:00","_created_by":"admin","_updated_at":"2026-07-19T08:42:30+07:00","_updated_by":"admin","_row_version":1,"_deleted_at":"","_deleted_by":"","_spreadsheet_id":"1J_32KxE3BsaXJVNxAk54A7XsLVvuV5PcV5UVaYZl68A","_audit_id":""}</t>
  </si>
  <si>
    <t>2bb44553-cbf6-41f0-94eb-63f422cd22b2</t>
  </si>
  <si>
    <t>{"username":"p3m-polbeng"}</t>
  </si>
  <si>
    <t>bae3f6bd-1e69-48ea-9a60-f0dc70b535fe</t>
  </si>
  <si>
    <t>API_users.list</t>
  </si>
  <si>
    <t>{"error":"Tidak berwenang melihat master pengguna."}</t>
  </si>
  <si>
    <t>d5354bbe-b962-4ec2-8ff1-abd420e56b69</t>
  </si>
  <si>
    <t>hardi-polbeng</t>
  </si>
  <si>
    <t>69e90d4a-c2fc-497f-8e3a-9ff65aff8cc8</t>
  </si>
  <si>
    <t>{"username":"hardi-1234"}</t>
  </si>
  <si>
    <t>48139838-43de-4a01-a343-7a2ab4c5c71c</t>
  </si>
  <si>
    <t>03442889-ad68-4899-9e69-31e16ae82fd5</t>
  </si>
  <si>
    <t>AUDIT_PROGRAMS</t>
  </si>
  <si>
    <t>25f27b13-a0b0-46a7-b5f7-064277dbaf3f</t>
  </si>
  <si>
    <t>{"audit_id":"25f27b13-a0b0-46a7-b5f7-064277dbaf3f","audit_code":"AUD-2026-00001","period_id":"c5cadec3-070e-469a-919b-6ff404b14afb","audit_title":"AMI NA ","audit_type":"NON_AKADEMIK","unit_id":"UNIT-P3M","unit_name":"Pusat Penelitian dan Pengabdian kepada Masyarakat","unit_code":"P3M","risk_level":"LOW","planned_start":"2026-07-20","planned_end":"2026-07-21","status":"DRAFT","audit_status":"DRAFT","questionnaire_status":"NOT_PREPARED","questionnaire_published_at":"","manager_user_id":"c73c3a59-8171-440d-b344-a86905adf9ae","lead_auditor":"c73c3a59-8171-440d-b344-a86905adf9ae","auditee_head":"","notes":"","audit_year":"2026","audit_file_name":"p3m_2026","audit_folder_id":"1xKRMK3aqpGR9FFZ1DxohGZ4mHrf8M4zn","spreadsheet_id":"1c_FcPTNrSJdVK8S67Jrg9cDxq6_Umie8tnt0XTQn3Hw","created_at":"2026-07-19T08:57:18+07:00","_created_at":"2026-07-19T08:57:18+07:00","_created_by":"admin","_updated_at":"2026-07-19T08:57:18+07:00","_updated_by":"admin","_row_version":1,"_deleted_at":"","_deleted_by":""}</t>
  </si>
  <si>
    <t>dc3e28b6-144a-4cf3-b158-a770d5b27efa</t>
  </si>
  <si>
    <t>AUDIT_TEAMS</t>
  </si>
  <si>
    <t>effb0c4e-6ece-40c8-bb72-6c82918a5c8c</t>
  </si>
  <si>
    <t>{"audit_id":"25f27b13-a0b0-46a7-b5f7-064277dbaf3f","user_id":"4769c65d-0d21-4afe-b675-847b63df9c64","team_role":"LEAD","independence_status":"CLEARED","assigned_at":"2026-07-19T09:00:01+07:00","team_member_id":"effb0c4e-6ece-40c8-bb72-6c82918a5c8c","_spreadsheet_id":"1c_FcPTNrSJdVK8S67Jrg9cDxq6_Umie8tnt0XTQn3Hw","_audit_id":"25f27b13-a0b0-46a7-b5f7-064277dbaf3f","_created_at":"2026-07-19T09:00:01+07:00","_created_by":"admin","_row_version":1,"_deleted_at":"","_deleted_by":"","_updated_at":"2026-07-19T09:00:01+07:00","_updated_by":"admin","_sheet_row":2,"_tech_record_id":"effb0c4e-6ece-40c8-bb72-6c82918a5c8c"}</t>
  </si>
  <si>
    <t>2e4252ef-1079-485b-8ea9-d27a2673b1a1</t>
  </si>
  <si>
    <t>QUESTION_DRAFT_INITIALIZED</t>
  </si>
  <si>
    <t>AUDIT_PROGRAM</t>
  </si>
  <si>
    <t>{"question_count":66}</t>
  </si>
  <si>
    <t>b770351e-0eb4-4a45-9483-9bb88ad26576</t>
  </si>
  <si>
    <t>{"_sheet_row":2,"audit_id":"25f27b13-a0b0-46a7-b5f7-064277dbaf3f","audit_year":2026,"unit_id":"UNIT-P3M","unit_name":"Pusat Penelitian dan Pengabdian kepada Masyarakat","audit_file_name":"p3m_2026","audit_folder_id":"1xKRMK3aqpGR9FFZ1DxohGZ4mHrf8M4zn","spreadsheet_id":"1c_FcPTNrSJdVK8S67Jrg9cDxq6_Umie8tnt0XTQn3Hw","audit_status":"DRAFT","planned_start":"2026-07-20T00:00:00+07:00","planned_end":"2026-07-21T00:00:00+07:00","lead_auditor":"4769c65d-0d21-4afe-b675-847b63df9c64","auditee_head":"","created_at":"2026-07-19T08:57:18+07:00","audit_code":"AUD-2026-00001","period_id":"c5cadec3-070e-469a-919b-6ff404b14afb","audit_title":"AMI NA ","audit_type":"NON_AKADEMIK","risk_level":"LOW","status":"DRAFT","manager_user_id":"4769c65d-0d21-4afe-b675-847b63df9c64","notes":"","_created_at":"2026-07-19T08:57:18+07:00","_created_by":"admin","_updated_at":"2026-07-19T09:01:40+07:00","_updated_by":"admin","_row_version":3,"_deleted_at":"","_deleted_by":"","unit_code":"P3M","questionnaire_status":"DRAFT","questionnaire_published_at":"","spreadsheet_url":"https://docs.google.com/spreadsheets/d/1c_FcPTNrSJdVK8S67Jrg9cDxq6_Umie8tnt0XTQn3Hw/edit","audit_folder_url":"https://drive.google.com/drive/folders/1xKRMK3aqpGR9FFZ1DxohGZ4mHrf8M4zn","evidence_folder_id":"1tbpVhkSnW46xiWLr-PNC6by__mRM-lkf","print_folder_id":"1m2D7XIvuDjXKMMG3mVmJeVL0KgcJIQ57","file_status":"CREATED","template_version":1,"_spreadsheet_id":"1c_FcPTNrSJdVK8S67Jrg9cDxq6_Umie8tnt0XTQn3Hw","_audit_id":"25f27b13-a0b0-46a7-b5f7-064277dbaf3f"}</t>
  </si>
  <si>
    <t>{"_sheet_row":2,"audit_id":"25f27b13-a0b0-46a7-b5f7-064277dbaf3f","audit_year":2026,"unit_id":"UNIT-P3M","unit_name":"Pusat Penelitian dan Pengabdian kepada Masyarakat","audit_file_name":"p3m_2026","audit_folder_id":"1xKRMK3aqpGR9FFZ1DxohGZ4mHrf8M4zn","spreadsheet_id":"1c_FcPTNrSJdVK8S67Jrg9cDxq6_Umie8tnt0XTQn3Hw","audit_status":"PLANNED","planned_start":"2026-07-20T00:00:00+07:00","planned_end":"2026-07-21T00:00:00+07:00","lead_auditor":"4769c65d-0d21-4afe-b675-847b63df9c64","auditee_head":"","created_at":"2026-07-19T08:57:18+07:00","audit_code":"AUD-2026-00001","period_id":"c5cadec3-070e-469a-919b-6ff404b14afb","audit_title":"AMI NA ","audit_type":"NON_AKADEMIK","risk_level":"LOW","status":"PLANNED","manager_user_id":"4769c65d-0d21-4afe-b675-847b63df9c64","notes":"","_created_at":"2026-07-19T08:57:18+07:00","_created_by":"admin","_updated_at":"2026-07-19T09:03:07+07:00","_updated_by":"admin","_row_version":4,"_deleted_at":"","_deleted_by":"","unit_code":"P3M","questionnaire_status":"DRAFT","questionnaire_published_at":"","spreadsheet_url":"https://docs.google.com/spreadsheets/d/1c_FcPTNrSJdVK8S67Jrg9cDxq6_Umie8tnt0XTQn3Hw/edit","audit_folder_url":"https://drive.google.com/drive/folders/1xKRMK3aqpGR9FFZ1DxohGZ4mHrf8M4zn","evidence_folder_id":"1tbpVhkSnW46xiWLr-PNC6by__mRM-lkf","print_folder_id":"1m2D7XIvuDjXKMMG3mVmJeVL0KgcJIQ57","file_status":"CREATED","template_version":1,"_spreadsheet_id":"1c_FcPTNrSJdVK8S67Jrg9cDxq6_Umie8tnt0XTQn3Hw","_audit_id":"25f27b13-a0b0-46a7-b5f7-064277dbaf3f"}</t>
  </si>
  <si>
    <t>a16edb68-6e72-42e4-9815-32c62dd14d58</t>
  </si>
  <si>
    <t>WORKFLOW_APPROVE_PROGRAM</t>
  </si>
  <si>
    <t>6415f051-ca2d-47d1-843a-69a2f9ad2343</t>
  </si>
  <si>
    <t>{"_sheet_row":2,"audit_id":"25f27b13-a0b0-46a7-b5f7-064277dbaf3f","audit_year":2026,"unit_id":"UNIT-P3M","unit_name":"Pusat Penelitian dan Pengabdian kepada Masyarakat","audit_file_name":"p3m_2026","audit_folder_id":"1xKRMK3aqpGR9FFZ1DxohGZ4mHrf8M4zn","spreadsheet_id":"1c_FcPTNrSJdVK8S67Jrg9cDxq6_Umie8tnt0XTQn3Hw","audit_status":"FILE_PREPARATION","planned_start":"2026-07-20T00:00:00+07:00","planned_end":"2026-07-21T00:00:00+07:00","lead_auditor":"4769c65d-0d21-4afe-b675-847b63df9c64","auditee_head":"","created_at":"2026-07-19T08:57:18+07:00","audit_code":"AUD-2026-00001","period_id":"c5cadec3-070e-469a-919b-6ff404b14afb","audit_title":"AMI NA ","audit_type":"NON_AKADEMIK","risk_level":"LOW","status":"FILE_PREPARATION","manager_user_id":"4769c65d-0d21-4afe-b675-847b63df9c64","notes":"","_created_at":"2026-07-19T08:57:18+07:00","_created_by":"admin","_updated_at":"2026-07-19T09:05:18+07:00","_updated_by":"admin","_row_version":5,"_deleted_at":"","_deleted_by":"","unit_code":"P3M","questionnaire_status":"DRAFT","questionnaire_published_at":"","spreadsheet_url":"https://docs.google.com/spreadsheets/d/1c_FcPTNrSJdVK8S67Jrg9cDxq6_Umie8tnt0XTQn3Hw/edit","audit_folder_url":"https://drive.google.com/drive/folders/1xKRMK3aqpGR9FFZ1DxohGZ4mHrf8M4zn","evidence_folder_id":"1tbpVhkSnW46xiWLr-PNC6by__mRM-lkf","print_folder_id":"1m2D7XIvuDjXKMMG3mVmJeVL0KgcJIQ57","file_status":"CREATED","template_version":1,"_spreadsheet_id":"1c_FcPTNrSJdVK8S67Jrg9cDxq6_Umie8tnt0XTQn3Hw","_audit_id":"25f27b13-a0b0-46a7-b5f7-064277dbaf3f"}</t>
  </si>
  <si>
    <t>9660eb13-2e61-446c-9446-1a00d912bc7a</t>
  </si>
  <si>
    <t>WORKFLOW_PREPARE_AUDIT_FILE</t>
  </si>
  <si>
    <t>822947d9-377a-4eda-884c-e6e819c63c44</t>
  </si>
  <si>
    <t>{"_sheet_row":2,"audit_id":"25f27b13-a0b0-46a7-b5f7-064277dbaf3f","audit_year":2026,"unit_id":"UNIT-P3M","unit_name":"Pusat Penelitian dan Pengabdian kepada Masyarakat","audit_file_name":"p3m_2026","audit_folder_id":"1xKRMK3aqpGR9FFZ1DxohGZ4mHrf8M4zn","spreadsheet_id":"1c_FcPTNrSJdVK8S67Jrg9cDxq6_Umie8tnt0XTQn3Hw","audit_status":"FILE_PREPARATION","planned_start":"2026-07-20T00:00:00+07:00","planned_end":"2026-07-21T00:00:00+07:00","lead_auditor":"4769c65d-0d21-4afe-b675-847b63df9c64","auditee_head":"","created_at":"2026-07-19T08:57:18+07:00","audit_code":"AUD-2026-00001","period_id":"c5cadec3-070e-469a-919b-6ff404b14afb","audit_title":"AMI NA ","audit_type":"NON_AKADEMIK","risk_level":"LOW","status":"FILE_PREPARATION","manager_user_id":"4769c65d-0d21-4afe-b675-847b63df9c64","notes":"","_created_at":"2026-07-19T08:57:18+07:00","_created_by":"admin","_updated_at":"2026-07-19T09:05:18+07:00","_updated_by":"admin","_row_version":5,"_deleted_at":"","_deleted_by":"","unit_code":"P3M","questionnaire_status":"DRAFT","questionnaire_published_at":"","spreadsheet_url":"https://docs.google.com/spreadsheets/d/1c_FcPTNrSJdVK8S67Jrg9cDxq6_Umie8tnt0XTQn3Hw/edit","audit_folder_url":"https://drive.google.com/drive/folders/1xKRMK3aqpGR9FFZ1DxohGZ4mHrf8M4zn","evidence_folder_id":"1tbpVhkSnW46xiWLr-PNC6by__mRM-lkf","print_folder_id":"1m2D7XIvuDjXKMMG3mVmJeVL0KgcJIQ57","file_status":"ACTIVE","template_version":1,"_spreadsheet_id":"1c_FcPTNrSJdVK8S67Jrg9cDxq6_Umie8tnt0XTQn3Hw","_audit_id":"25f27b13-a0b0-46a7-b5f7-064277dbaf3f"}</t>
  </si>
  <si>
    <t>{"_sheet_row":2,"audit_id":"25f27b13-a0b0-46a7-b5f7-064277dbaf3f","audit_year":2026,"unit_id":"UNIT-P3M","unit_name":"Pusat Penelitian dan Pengabdian kepada Masyarakat","audit_file_name":"p3m_2026","audit_folder_id":"1xKRMK3aqpGR9FFZ1DxohGZ4mHrf8M4zn","spreadsheet_id":"1c_FcPTNrSJdVK8S67Jrg9cDxq6_Umie8tnt0XTQn3Hw","audit_status":"INSTRUMENT_REVIEW","planned_start":"2026-07-20T00:00:00+07:00","planned_end":"2026-07-21T00:00:00+07:00","lead_auditor":"4769c65d-0d21-4afe-b675-847b63df9c64","auditee_head":"","created_at":"2026-07-19T08:57:18+07:00","audit_code":"AUD-2026-00001","period_id":"c5cadec3-070e-469a-919b-6ff404b14afb","audit_title":"AMI NA ","audit_type":"NON_AKADEMIK","risk_level":"LOW","status":"INSTRUMENT_REVIEW","manager_user_id":"4769c65d-0d21-4afe-b675-847b63df9c64","notes":"","_created_at":"2026-07-19T08:57:18+07:00","_created_by":"admin","_updated_at":"2026-07-19T09:06:13+07:00","_updated_by":"admin","_row_version":6,"_deleted_at":"","_deleted_by":"","unit_code":"P3M","questionnaire_status":"DRAFT","questionnaire_published_at":"","spreadsheet_url":"https://docs.google.com/spreadsheets/d/1c_FcPTNrSJdVK8S67Jrg9cDxq6_Umie8tnt0XTQn3Hw/edit","audit_folder_url":"https://drive.google.com/drive/folders/1xKRMK3aqpGR9FFZ1DxohGZ4mHrf8M4zn","evidence_folder_id":"1tbpVhkSnW46xiWLr-PNC6by__mRM-lkf","print_folder_id":"1m2D7XIvuDjXKMMG3mVmJeVL0KgcJIQ57","file_status":"ACTIVE","template_version":1,"_spreadsheet_id":"1c_FcPTNrSJdVK8S67Jrg9cDxq6_Umie8tnt0XTQn3Hw","_audit_id":"25f27b13-a0b0-46a7-b5f7-064277dbaf3f"}</t>
  </si>
  <si>
    <t>1685efa1-0bce-41e9-b3be-59592fa9372e</t>
  </si>
  <si>
    <t>WORKFLOW_START_INSTRUMENT_REVIEW</t>
  </si>
  <si>
    <t>6362f234-01de-4a97-9367-ddc6d7032eee</t>
  </si>
  <si>
    <t>QUESTION_REVIEW_SAVED</t>
  </si>
  <si>
    <t>{"count":66}</t>
  </si>
  <si>
    <t>ca22bdf6-e326-48f7-9d96-7ff2c4dd6a26</t>
  </si>
  <si>
    <t>APPROVALS</t>
  </si>
  <si>
    <t>87deff13-a804-4dac-8117-d8d8dac371ff</t>
  </si>
  <si>
    <t>{"_sheet_row":2,"approval_id":"87deff13-a804-4dac-8117-d8d8dac371ff","entity_type":"AUDIT_QUESTION_SET","entity_id":"25f27b13-a0b0-46a7-b5f7-064277dbaf3f","approval_step":"QUESTION_PUBLICATION","approver_user_id":"c73c3a59-8171-440d-b344-a86905adf9ae","decision":"AUTO_APPROVED_DEFAULT","decision_note":"tidak ada perubahan","decided_at":"2026-07-19T09:08:55+07:00","audit_id":"25f27b13-a0b0-46a7-b5f7-064277dbaf3f","_created_at":"2026-07-19T09:08:55+07:00","_created_by":"admin","_updated_at":"2026-07-19T09:08:55+07:00","_updated_by":"admin","_row_version":1,"_deleted_at":"","_deleted_by":"","_spreadsheet_id":"1c_FcPTNrSJdVK8S67Jrg9cDxq6_Umie8tnt0XTQn3Hw","_audit_id":"25f27b13-a0b0-46a7-b5f7-064277dbaf3f"}</t>
  </si>
  <si>
    <t>ea819acf-078e-4af9-b22a-14d038164e08</t>
  </si>
  <si>
    <t>QUESTIONNAIRE_PUBLISHED</t>
  </si>
  <si>
    <t>9b20f53a-9622-4124-bf53-417d5040ba2f</t>
  </si>
  <si>
    <t>config_key</t>
  </si>
  <si>
    <t>config_value</t>
  </si>
  <si>
    <t>data_type</t>
  </si>
  <si>
    <t>scope</t>
  </si>
  <si>
    <t>description</t>
  </si>
  <si>
    <t>required</t>
  </si>
  <si>
    <t>editable</t>
  </si>
  <si>
    <t>updated_at</t>
  </si>
  <si>
    <t>APP_NAME</t>
  </si>
  <si>
    <t>SAMI-NONAK Polbeng</t>
  </si>
  <si>
    <t>TEXT</t>
  </si>
  <si>
    <t>Nama aplikasi</t>
  </si>
  <si>
    <t>APP_CODE</t>
  </si>
  <si>
    <t>SAMI_NONAK</t>
  </si>
  <si>
    <t>Kode aplikasi</t>
  </si>
  <si>
    <t>APP_VERSION</t>
  </si>
  <si>
    <t>1.2.0</t>
  </si>
  <si>
    <t>Versi aplikasi</t>
  </si>
  <si>
    <t>SYSTEM_MODE</t>
  </si>
  <si>
    <t>DEVELOPMENT</t>
  </si>
  <si>
    <t>LOOKUP:SYSTEM_MODE</t>
  </si>
  <si>
    <t>Mode DEVELOPMENT/PRODUCTION</t>
  </si>
  <si>
    <t>SYSTEM_SPREADSHEET_ID</t>
  </si>
  <si>
    <t>ID file Google Sheet Sistem; diisi fungsi initSystem()</t>
  </si>
  <si>
    <t>TRANSACTION_STORAGE_MODE</t>
  </si>
  <si>
    <t>PER_UNIT_YEAR_SPREADSHEET</t>
  </si>
  <si>
    <t>DATABASE</t>
  </si>
  <si>
    <t>Setiap unit dan tahun audit mempunyai Google Sheet transaksi tersendiri</t>
  </si>
  <si>
    <t>TRUE</t>
  </si>
  <si>
    <t>FALSE</t>
  </si>
  <si>
    <t>DEFAULT_AUDIT_PERIOD</t>
  </si>
  <si>
    <t>AUDIT</t>
  </si>
  <si>
    <t>Periode audit default</t>
  </si>
  <si>
    <t>TIMEZONE</t>
  </si>
  <si>
    <t>Asia/Jakarta</t>
  </si>
  <si>
    <t>Zona waktu aplikasi</t>
  </si>
  <si>
    <t>LOCALE</t>
  </si>
  <si>
    <t>id_ID</t>
  </si>
  <si>
    <t>Lokal aplikasi</t>
  </si>
  <si>
    <t>DATE_FORMAT</t>
  </si>
  <si>
    <t>dd/MM/yyyy</t>
  </si>
  <si>
    <t>Format tanggal tampilan</t>
  </si>
  <si>
    <t>DATETIME_FORMAT</t>
  </si>
  <si>
    <t>dd/MM/yyyy HH:mm:ss</t>
  </si>
  <si>
    <t>Format waktu tampilan</t>
  </si>
  <si>
    <t>ACTIVE_PROCESS_STANDARD</t>
  </si>
  <si>
    <t>ISO9001_2015_A1_2024</t>
  </si>
  <si>
    <t>STANDARD</t>
  </si>
  <si>
    <t>ISO 9001:2015 digunakan untuk pendekatan proses dan pengendalian proses bisnis</t>
  </si>
  <si>
    <t>2026-07-19</t>
  </si>
  <si>
    <t>ACTIVE_ORG_VERSION</t>
  </si>
  <si>
    <t>OTK_POLBENG_2022</t>
  </si>
  <si>
    <t>ORGANIZATION</t>
  </si>
  <si>
    <t>Struktur dan tupoksi unit berdasarkan OTK Polbeng yang berlaku</t>
  </si>
  <si>
    <t>MAX_UPLOAD_MB</t>
  </si>
  <si>
    <t>NUMBER</t>
  </si>
  <si>
    <t>EVIDENCE</t>
  </si>
  <si>
    <t>Batas ukuran satu file</t>
  </si>
  <si>
    <t>EVIDENCE_STORAGE_MODE</t>
  </si>
  <si>
    <t>GOOGLE_DRIVE</t>
  </si>
  <si>
    <t>LOOKUP:STORAGE_MODE</t>
  </si>
  <si>
    <t>Metode penyimpanan bukti</t>
  </si>
  <si>
    <t>EVIDENCE_ROOT_FOLDER_ID</t>
  </si>
  <si>
    <t>1bavSo7fYdE8p4rrMnGVAsGYmjLtWHCSs</t>
  </si>
  <si>
    <t>Folder induk bukti di Google Drive</t>
  </si>
  <si>
    <t>ENABLE_EMAIL_NOTIFICATION</t>
  </si>
  <si>
    <t>BOOLEAN</t>
  </si>
  <si>
    <t>NOTIFICATION</t>
  </si>
  <si>
    <t>Aktifkan email notifikasi</t>
  </si>
  <si>
    <t>ENABLE_AUDIT_LOG</t>
  </si>
  <si>
    <t>SECURITY</t>
  </si>
  <si>
    <t>Aktifkan log aktivitas</t>
  </si>
  <si>
    <t>ALLOW_PUBLIC_ACCESS</t>
  </si>
  <si>
    <t>Harus FALSE untuk aplikasi institusi</t>
  </si>
  <si>
    <t>DEFAULT_PAGE_SIZE</t>
  </si>
  <si>
    <t>UI</t>
  </si>
  <si>
    <t>Jumlah baris per halaman</t>
  </si>
  <si>
    <t>CACHE_SECONDS</t>
  </si>
  <si>
    <t>PERFORMANCE</t>
  </si>
  <si>
    <t>Durasi cache master data</t>
  </si>
  <si>
    <t>WEBAPP_URL</t>
  </si>
  <si>
    <t>URL</t>
  </si>
  <si>
    <t>URL deployment web app</t>
  </si>
  <si>
    <t>AUTH_MODE</t>
  </si>
  <si>
    <t>USERNAME_PASSWORD</t>
  </si>
  <si>
    <t>Login aplikasi memakai username dan password yang dikelola pada Sheet Sistem</t>
  </si>
  <si>
    <t>USER_ACCOUNT_SOURCE</t>
  </si>
  <si>
    <t>SYSTEM_SHEET</t>
  </si>
  <si>
    <t>Akun, role, unit, password, dan status aktif dikelola terpusat; bukan transaksi audit</t>
  </si>
  <si>
    <t>SYSTEM_SHEET_STORES_TRANSACTIONS</t>
  </si>
  <si>
    <t>Sheet Sistem dilarang menyimpan jawaban auditee, kertas kerja, temuan, tindak lanjut, atau verifikasi</t>
  </si>
  <si>
    <t>ACTIVE_AUDIT_REGULATION</t>
  </si>
  <si>
    <t>PMPT_39_2025</t>
  </si>
  <si>
    <t>Kriteria mutu mengacu Permendiktisaintek 39/2025 dan standar internal Polbeng yang diturunkan darinya</t>
  </si>
  <si>
    <t>AUDIT_FILE_NAMING_PATTERN</t>
  </si>
  <si>
    <t>{unit_slug}_{audit_year}</t>
  </si>
  <si>
    <t>Nama Google Sheet transaksi audit</t>
  </si>
  <si>
    <t>AUDIT_FOLDER_NAMING_PATTERN</t>
  </si>
  <si>
    <t>Nama folder audit unit dan tahun</t>
  </si>
  <si>
    <t>EVIDENCE_SUBFOLDER_NAME</t>
  </si>
  <si>
    <t>Subfolder lampiran fisik</t>
  </si>
  <si>
    <t>PRINT_SUBFOLDER_NAME</t>
  </si>
  <si>
    <t>CETAK</t>
  </si>
  <si>
    <t>REPORT</t>
  </si>
  <si>
    <t>Subfolder versi cetak PDF</t>
  </si>
  <si>
    <t>CREATE_ONE_FILE_PER_UNIT_YEAR</t>
  </si>
  <si>
    <t>Satu Google Sheet transaksi untuk satu unit pada satu tahun audit</t>
  </si>
  <si>
    <t>AUDITOR_UNCHANGED_PUBLISH_DIRECTLY</t>
  </si>
  <si>
    <t>WORKFLOW</t>
  </si>
  <si>
    <t>Instrumen tanpa perubahan auditor langsung diterbitkan kepada auditee</t>
  </si>
  <si>
    <t>AUDITOR_CHANGED_REQUIRES_APPROVAL</t>
  </si>
  <si>
    <t>Instrumen yang diubah auditor wajib disetujui Verifikator/P4MP</t>
  </si>
  <si>
    <t>INSTRUMENT_APPROVER_ROLES</t>
  </si>
  <si>
    <t>P4MP_VERIFIKATOR|VERIFIKATOR|ADMIN_MUTU</t>
  </si>
  <si>
    <t>MULTI_TEXT</t>
  </si>
  <si>
    <t>Role yang menyetujui perubahan instrumen</t>
  </si>
  <si>
    <t>PRINT_FORMAT</t>
  </si>
  <si>
    <t>PDF</t>
  </si>
  <si>
    <t>Format versi cetak audit</t>
  </si>
  <si>
    <t>AUDIT_FILE_TEMPLATE_VERSION</t>
  </si>
  <si>
    <t>1.0</t>
  </si>
  <si>
    <t>Versi struktur file transaksi unit-tahun</t>
  </si>
  <si>
    <t>INTERNAL_STANDARD_VERSION</t>
  </si>
  <si>
    <t>2026-D1</t>
  </si>
  <si>
    <t>Versi rancangan standar internal nonakademik</t>
  </si>
  <si>
    <t>INTERNAL_STANDARD_STATUS</t>
  </si>
  <si>
    <t>PROPOSED_FOR_FORMALIZATION</t>
  </si>
  <si>
    <t>Status hukum rancangan standar internal</t>
  </si>
  <si>
    <t>AUDIT_MATRIX_VERSION</t>
  </si>
  <si>
    <t>Versi matriks tupoksi-standar-regulasi-ISO-pertanyaan</t>
  </si>
  <si>
    <t>audit_file_id</t>
  </si>
  <si>
    <t>audit_year</t>
  </si>
  <si>
    <t>unit_id</t>
  </si>
  <si>
    <t>unit_name</t>
  </si>
  <si>
    <t>audit_file_name</t>
  </si>
  <si>
    <t>spreadsheet_id</t>
  </si>
  <si>
    <t>spreadsheet_url</t>
  </si>
  <si>
    <t>audit_folder_id</t>
  </si>
  <si>
    <t>audit_folder_url</t>
  </si>
  <si>
    <t>evidence_folder_id</t>
  </si>
  <si>
    <t>print_folder_id</t>
  </si>
  <si>
    <t>file_status</t>
  </si>
  <si>
    <t>template_version</t>
  </si>
  <si>
    <t>notes</t>
  </si>
  <si>
    <t>UNIT-P3M</t>
  </si>
  <si>
    <t>Pusat Penelitian dan Pengabdian kepada Masyarakat</t>
  </si>
  <si>
    <t>p3m_2026</t>
  </si>
  <si>
    <t>1c_FcPTNrSJdVK8S67Jrg9cDxq6_Umie8tnt0XTQn3Hw</t>
  </si>
  <si>
    <t>https://docs.google.com/spreadsheets/d/1c_FcPTNrSJdVK8S67Jrg9cDxq6_Umie8tnt0XTQn3Hw/edit</t>
  </si>
  <si>
    <t>1xKRMK3aqpGR9FFZ1DxohGZ4mHrf8M4zn</t>
  </si>
  <si>
    <t>https://drive.google.com/drive/folders/1xKRMK3aqpGR9FFZ1DxohGZ4mHrf8M4zn</t>
  </si>
  <si>
    <t>1tbpVhkSnW46xiWLr-PNC6by__mRM-lkf</t>
  </si>
  <si>
    <t>1m2D7XIvuDjXKMMG3mVmJeVL0KgcJIQ57</t>
  </si>
  <si>
    <t>template_id</t>
  </si>
  <si>
    <t>sheet_code</t>
  </si>
  <si>
    <t>sheet_name</t>
  </si>
  <si>
    <t>sheet_title</t>
  </si>
  <si>
    <t>purpose</t>
  </si>
  <si>
    <t>owner_role</t>
  </si>
  <si>
    <t>write_roles</t>
  </si>
  <si>
    <t>read_roles</t>
  </si>
  <si>
    <t>print_source</t>
  </si>
  <si>
    <t>display_order</t>
  </si>
  <si>
    <t>active</t>
  </si>
  <si>
    <t>SHT-00</t>
  </si>
  <si>
    <t>IDENTITY</t>
  </si>
  <si>
    <t>00_IDENTITAS</t>
  </si>
  <si>
    <t>Identitas Audit</t>
  </si>
  <si>
    <t>Metadata audit, unit, tahun, tim, jadwal, dan status file</t>
  </si>
  <si>
    <t>ADMIN_MUTU</t>
  </si>
  <si>
    <t>ADMIN_MUTU|SEKRETARIAT</t>
  </si>
  <si>
    <t>*</t>
  </si>
  <si>
    <t>YES</t>
  </si>
  <si>
    <t>Dibuat otomatis saat rencana audit disahkan</t>
  </si>
  <si>
    <t>SHT-01</t>
  </si>
  <si>
    <t>INSTRUMENT</t>
  </si>
  <si>
    <t>01_INSTRUMEN</t>
  </si>
  <si>
    <t>Instrumen Audit</t>
  </si>
  <si>
    <t>Salinan pertanyaan default, hasil telaah auditor, persetujuan P4MP, dan pertanyaan terbit</t>
  </si>
  <si>
    <t>KETUA_AUDITOR</t>
  </si>
  <si>
    <t>AUDITOR|KETUA_AUDITOR|VERIFIKATOR|P4MP_VERIFIKATOR|ADMIN_MUTU</t>
  </si>
  <si>
    <t>AUDITOR|KETUA_AUDITOR|VERIFIKATOR|P4MP_VERIFIKATOR|ADMIN_MUTU|AUDITEE</t>
  </si>
  <si>
    <t>Auditee hanya melihat pertanyaan berstatus PUBLISHED</t>
  </si>
  <si>
    <t>SHT-02</t>
  </si>
  <si>
    <t>AUDITEE_RESPONSE</t>
  </si>
  <si>
    <t>02_JAWABAN_AUDITEE</t>
  </si>
  <si>
    <t>Jawaban Auditee</t>
  </si>
  <si>
    <t>Jawaban, penilaian mandiri, uraian pelaksanaan, kendala, dan pengesahan unit</t>
  </si>
  <si>
    <t>AUDITEE</t>
  </si>
  <si>
    <t>AUDITEE|KEPALA_UNIT</t>
  </si>
  <si>
    <t>AUDITEE|KEPALA_UNIT|AUDITOR|KETUA_AUDITOR|ADMIN_MUTU</t>
  </si>
  <si>
    <t>Seluruh transaksi auditee berada di file audit unit-tahun</t>
  </si>
  <si>
    <t>SHT-03</t>
  </si>
  <si>
    <t>03_BUKTI</t>
  </si>
  <si>
    <t>Register Bukti</t>
  </si>
  <si>
    <t>Metadata file bukti dan tautan Google Drive</t>
  </si>
  <si>
    <t>AUDITEE|KEPALA_UNIT|AUDITOR</t>
  </si>
  <si>
    <t>AUDITEE|KEPALA_UNIT|AUDITOR|KETUA_AUDITOR|VERIFIKATOR|ADMIN_MUTU</t>
  </si>
  <si>
    <t>Berkas fisik disimpan di subfolder EVIDENCE</t>
  </si>
  <si>
    <t>SHT-04</t>
  </si>
  <si>
    <t>WORKPAPER</t>
  </si>
  <si>
    <t>04_KERTAS_KERJA</t>
  </si>
  <si>
    <t>Kertas Kerja Auditor</t>
  </si>
  <si>
    <t>Sampel, wawancara, bukti objektif, analisis, dan status kesesuaian</t>
  </si>
  <si>
    <t>AUDITOR</t>
  </si>
  <si>
    <t>AUDITOR|KETUA_AUDITOR</t>
  </si>
  <si>
    <t>AUDITOR|KETUA_AUDITOR|VERIFIKATOR|ADMIN_MUTU</t>
  </si>
  <si>
    <t>NO</t>
  </si>
  <si>
    <t>Tidak dapat diedit oleh auditee</t>
  </si>
  <si>
    <t>SHT-05</t>
  </si>
  <si>
    <t>FINDING</t>
  </si>
  <si>
    <t>05_TEMUAN</t>
  </si>
  <si>
    <t>Temuan Audit</t>
  </si>
  <si>
    <t>Kriteria, kondisi, bukti objektif, kesenjangan, risiko, dan klasifikasi temuan</t>
  </si>
  <si>
    <t>AUDITOR|KETUA_AUDITOR|AUDITEE|KEPALA_UNIT|VERIFIKATOR|ADMIN_MUTU</t>
  </si>
  <si>
    <t>Kriteria harus memuat regulasi mutu dan klausul ISO proses</t>
  </si>
  <si>
    <t>SHT-06</t>
  </si>
  <si>
    <t>FOLLOW_UP</t>
  </si>
  <si>
    <t>06_TINDAK_LANJUT</t>
  </si>
  <si>
    <t>Tindak Lanjut</t>
  </si>
  <si>
    <t>Koreksi, akar penyebab, tindakan korektif, PIC, target, kemajuan, dan bukti</t>
  </si>
  <si>
    <t>Data tindak lanjut berada pada file audit yang sama</t>
  </si>
  <si>
    <t>SHT-07</t>
  </si>
  <si>
    <t>VERIFICATION</t>
  </si>
  <si>
    <t>07_VERIFIKASI</t>
  </si>
  <si>
    <t>Verifikasi Efektivitas</t>
  </si>
  <si>
    <t>Verifikasi pelaksanaan, efektivitas, dan keputusan penutupan</t>
  </si>
  <si>
    <t>VERIFIKATOR</t>
  </si>
  <si>
    <t>VERIFIKATOR|P4MP_VERIFIKATOR|ADMIN_MUTU</t>
  </si>
  <si>
    <t>VERIFIKATOR|P4MP_VERIFIKATOR|AUDITOR|KETUA_AUDITOR|AUDITEE|KEPALA_UNIT|ADMIN_MUTU</t>
  </si>
  <si>
    <t>Efektivitas dibedakan dari sekadar selesai dilaksanakan</t>
  </si>
  <si>
    <t>SHT-08</t>
  </si>
  <si>
    <t>APPROVAL</t>
  </si>
  <si>
    <t>08_PERSETUJUAN</t>
  </si>
  <si>
    <t>Persetujuan</t>
  </si>
  <si>
    <t>Riwayat keputusan auditor, P4MP, kepala unit, dan pimpinan</t>
  </si>
  <si>
    <t>Ditulis oleh workflow, bukan isian bebas</t>
  </si>
  <si>
    <t>SHT-09</t>
  </si>
  <si>
    <t>LOG</t>
  </si>
  <si>
    <t>09_LOG</t>
  </si>
  <si>
    <t>Log Aktivitas</t>
  </si>
  <si>
    <t>Jejak perubahan seluruh transaksi audit unit-tahun</t>
  </si>
  <si>
    <t>SUPER_ADMIN|ADMIN_MUTU|SPI_OBSERVER</t>
  </si>
  <si>
    <t>Tidak disimpan pada Sheet Sistem</t>
  </si>
  <si>
    <t>SHT-10</t>
  </si>
  <si>
    <t>SUMMARY</t>
  </si>
  <si>
    <t>10_REKAP</t>
  </si>
  <si>
    <t>Rekap Audit</t>
  </si>
  <si>
    <t>Ringkasan capaian, temuan, tindak lanjut, dan sumber cetak laporan</t>
  </si>
  <si>
    <t>Dihitung dari tab transaksi dalam file audit</t>
  </si>
  <si>
    <t>SHT-11</t>
  </si>
  <si>
    <t>PRINT_REGISTRY</t>
  </si>
  <si>
    <t>11_CETAK_REGISTER</t>
  </si>
  <si>
    <t>Register Dokumen Cetak</t>
  </si>
  <si>
    <t>Versi, status, ID file, tautan, pembentuk, dan pengesah PDF</t>
  </si>
  <si>
    <t>SUPER_ADMIN|ADMIN_MUTU|MANAJER_AUDIT|KETUA_AUDITOR|PIMPINAN|SEKRETARIAT</t>
  </si>
  <si>
    <t>PDF fisik berada di folder CETAK</t>
  </si>
  <si>
    <t>field_name</t>
  </si>
  <si>
    <t>label</t>
  </si>
  <si>
    <t>editable_roles</t>
  </si>
  <si>
    <t>source</t>
  </si>
  <si>
    <t>lookup_key</t>
  </si>
  <si>
    <t>audit_id</t>
  </si>
  <si>
    <t>ID Audit</t>
  </si>
  <si>
    <t>UUID</t>
  </si>
  <si>
    <t/>
  </si>
  <si>
    <t>Primary key audit</t>
  </si>
  <si>
    <t>Tahun Audit</t>
  </si>
  <si>
    <t>YEAR</t>
  </si>
  <si>
    <t>01_CONFIG</t>
  </si>
  <si>
    <t>ID Unit</t>
  </si>
  <si>
    <t>LOOKUP</t>
  </si>
  <si>
    <t>12_UNITS</t>
  </si>
  <si>
    <t>UNIT</t>
  </si>
  <si>
    <t>Nama Unit</t>
  </si>
  <si>
    <t>Nama File Audit</t>
  </si>
  <si>
    <t>26_FOLDER_RULES</t>
  </si>
  <si>
    <t>Format {unit_slug}_{audit_year}</t>
  </si>
  <si>
    <t>ID Folder Audit</t>
  </si>
  <si>
    <t>DRIVE</t>
  </si>
  <si>
    <t>ID Google Sheet Audit</t>
  </si>
  <si>
    <t>audit_status</t>
  </si>
  <si>
    <t>Status Audit</t>
  </si>
  <si>
    <t>ADMIN_MUTU|MANAJER_AUDIT</t>
  </si>
  <si>
    <t>21_LOOKUPS</t>
  </si>
  <si>
    <t>AUDIT_STATUS</t>
  </si>
  <si>
    <t>planned_start</t>
  </si>
  <si>
    <t>Rencana Mulai</t>
  </si>
  <si>
    <t>DATE</t>
  </si>
  <si>
    <t>USER_INPUT</t>
  </si>
  <si>
    <t>planned_end</t>
  </si>
  <si>
    <t>Rencana Selesai</t>
  </si>
  <si>
    <t>lead_auditor</t>
  </si>
  <si>
    <t>Ketua Auditor</t>
  </si>
  <si>
    <t>SYSTEM_USERS</t>
  </si>
  <si>
    <t>auditee_head</t>
  </si>
  <si>
    <t>Kepala Unit</t>
  </si>
  <si>
    <t>Dibuat Pada</t>
  </si>
  <si>
    <t>DATETIME</t>
  </si>
  <si>
    <t>audit_question_id</t>
  </si>
  <si>
    <t>ID Pertanyaan Audit</t>
  </si>
  <si>
    <t>source_question_id</t>
  </si>
  <si>
    <t>ID Pertanyaan Default</t>
  </si>
  <si>
    <t>17_QUESTION_BANK</t>
  </si>
  <si>
    <t>QUESTION</t>
  </si>
  <si>
    <t>question_code</t>
  </si>
  <si>
    <t>Kode Pertanyaan</t>
  </si>
  <si>
    <t>requirement_code</t>
  </si>
  <si>
    <t>Kode Standar/Kriteria</t>
  </si>
  <si>
    <t>MULTI_LOOKUP</t>
  </si>
  <si>
    <t>24_Q_REQUIREMENT_MAP</t>
  </si>
  <si>
    <t>REQUIREMENT</t>
  </si>
  <si>
    <t>regulation_ref</t>
  </si>
  <si>
    <t>Rujukan Regulasi</t>
  </si>
  <si>
    <t>16_REQUIREMENTS</t>
  </si>
  <si>
    <t>Permendiktisaintek 39/2025 atau standar internal turunannya</t>
  </si>
  <si>
    <t>iso_clause</t>
  </si>
  <si>
    <t>Klausul ISO Proses</t>
  </si>
  <si>
    <t>15_ISO_CLAUSES</t>
  </si>
  <si>
    <t>unit_function_id</t>
  </si>
  <si>
    <t>Tupoksi Unit</t>
  </si>
  <si>
    <t>13_UNIT_FUNCTIONS</t>
  </si>
  <si>
    <t>UNIT_FUNCTION</t>
  </si>
  <si>
    <t>default_question</t>
  </si>
  <si>
    <t>Pertanyaan Default</t>
  </si>
  <si>
    <t>LONGTEXT</t>
  </si>
  <si>
    <t>auditor_question</t>
  </si>
  <si>
    <t>Pertanyaan Hasil Telaah Auditor</t>
  </si>
  <si>
    <t>change_flag</t>
  </si>
  <si>
    <t>Ada Perubahan</t>
  </si>
  <si>
    <t>Dihitung dengan membandingkan pertanyaan default dan hasil telaah</t>
  </si>
  <si>
    <t>review_status</t>
  </si>
  <si>
    <t>Status Review</t>
  </si>
  <si>
    <t>INSTRUMENT_STATUS</t>
  </si>
  <si>
    <t>auditor_note</t>
  </si>
  <si>
    <t>Catatan Auditor</t>
  </si>
  <si>
    <t>verifier_note</t>
  </si>
  <si>
    <t>Catatan Verifikator/P4MP</t>
  </si>
  <si>
    <t>VERIFIKATOR|P4MP_VERIFIKATOR</t>
  </si>
  <si>
    <t>published_question</t>
  </si>
  <si>
    <t>Pertanyaan Terbit</t>
  </si>
  <si>
    <t>Hanya nilai ini ditampilkan ke auditee</t>
  </si>
  <si>
    <t>evidence_hint</t>
  </si>
  <si>
    <t>Bukti yang Diharapkan</t>
  </si>
  <si>
    <t>risk_level</t>
  </si>
  <si>
    <t>Tingkat Risiko</t>
  </si>
  <si>
    <t>RISK_LEVEL</t>
  </si>
  <si>
    <t>weight</t>
  </si>
  <si>
    <t>Bobot</t>
  </si>
  <si>
    <t>mandatory</t>
  </si>
  <si>
    <t>Wajib</t>
  </si>
  <si>
    <t>sort_order</t>
  </si>
  <si>
    <t>Urutan</t>
  </si>
  <si>
    <t>response_id</t>
  </si>
  <si>
    <t>ID Jawaban</t>
  </si>
  <si>
    <t>AUDIT_QUESTION</t>
  </si>
  <si>
    <t>Pertanyaan</t>
  </si>
  <si>
    <t>self_score</t>
  </si>
  <si>
    <t>Skor Penilaian Mandiri</t>
  </si>
  <si>
    <t>implementation_description</t>
  </si>
  <si>
    <t>Uraian Pelaksanaan</t>
  </si>
  <si>
    <t>evidence_summary</t>
  </si>
  <si>
    <t>Ringkasan Bukti</t>
  </si>
  <si>
    <t>constraint_note</t>
  </si>
  <si>
    <t>Kendala</t>
  </si>
  <si>
    <t>response_status</t>
  </si>
  <si>
    <t>Status Jawaban</t>
  </si>
  <si>
    <t>RESPONSE_STATUS</t>
  </si>
  <si>
    <t>submitted_by</t>
  </si>
  <si>
    <t>Pengirim</t>
  </si>
  <si>
    <t>submitted_at</t>
  </si>
  <si>
    <t>Waktu Kirim</t>
  </si>
  <si>
    <t>approved_by</t>
  </si>
  <si>
    <t>Pengesah Unit</t>
  </si>
  <si>
    <t>KEPALA_UNIT</t>
  </si>
  <si>
    <t>approved_at</t>
  </si>
  <si>
    <t>Waktu Pengesahan</t>
  </si>
  <si>
    <t>evidence_id</t>
  </si>
  <si>
    <t>ID Bukti</t>
  </si>
  <si>
    <t>evidence_code</t>
  </si>
  <si>
    <t>Kode Bukti</t>
  </si>
  <si>
    <t>Boleh kosong untuk bukti tingkat audit/temuan</t>
  </si>
  <si>
    <t>finding_id</t>
  </si>
  <si>
    <t>ID Temuan</t>
  </si>
  <si>
    <t>evidence_type</t>
  </si>
  <si>
    <t>Jenis Bukti</t>
  </si>
  <si>
    <t>EVIDENCE_TYPE</t>
  </si>
  <si>
    <t>title</t>
  </si>
  <si>
    <t>Judul Bukti</t>
  </si>
  <si>
    <t>file_name</t>
  </si>
  <si>
    <t>Nama File</t>
  </si>
  <si>
    <t>UPLOAD</t>
  </si>
  <si>
    <t>mime_type</t>
  </si>
  <si>
    <t>Tipe File</t>
  </si>
  <si>
    <t>file_size_bytes</t>
  </si>
  <si>
    <t>Ukuran File</t>
  </si>
  <si>
    <t>drive_file_id</t>
  </si>
  <si>
    <t>ID File Drive</t>
  </si>
  <si>
    <t>drive_url</t>
  </si>
  <si>
    <t>Tautan File</t>
  </si>
  <si>
    <t>ID Folder Evidence</t>
  </si>
  <si>
    <t>document_date</t>
  </si>
  <si>
    <t>Tanggal Dokumen</t>
  </si>
  <si>
    <t>confidentiality</t>
  </si>
  <si>
    <t>Kerahasiaan</t>
  </si>
  <si>
    <t>CONFIDENTIALITY</t>
  </si>
  <si>
    <t>Status Validasi</t>
  </si>
  <si>
    <t>AUDITOR|KETUA_AUDITOR|VERIFIKATOR</t>
  </si>
  <si>
    <t>EVIDENCE_REVIEW_STATUS</t>
  </si>
  <si>
    <t>uploaded_by</t>
  </si>
  <si>
    <t>Pengunggah</t>
  </si>
  <si>
    <t>27_USERS</t>
  </si>
  <si>
    <t>uploaded_at</t>
  </si>
  <si>
    <t>Waktu Unggah</t>
  </si>
  <si>
    <t>validated_by</t>
  </si>
  <si>
    <t>Validator</t>
  </si>
  <si>
    <t>validated_at</t>
  </si>
  <si>
    <t>Waktu Validasi</t>
  </si>
  <si>
    <t>validation_note</t>
  </si>
  <si>
    <t>Catatan Validasi</t>
  </si>
  <si>
    <t>workpaper_id</t>
  </si>
  <si>
    <t>ID Kertas Kerja</t>
  </si>
  <si>
    <t>auditor_user_id</t>
  </si>
  <si>
    <t>Auditor</t>
  </si>
  <si>
    <t>sample_description</t>
  </si>
  <si>
    <t>Sampel</t>
  </si>
  <si>
    <t>interviewee</t>
  </si>
  <si>
    <t>Narasumber</t>
  </si>
  <si>
    <t>objective_evidence</t>
  </si>
  <si>
    <t>Bukti Objektif</t>
  </si>
  <si>
    <t>auditor_analysis</t>
  </si>
  <si>
    <t>Analisis Auditor</t>
  </si>
  <si>
    <t>Status Hasil</t>
  </si>
  <si>
    <t>AUDIT_RESULT_STATUS</t>
  </si>
  <si>
    <t>maturity_score</t>
  </si>
  <si>
    <t>Skor Auditor</t>
  </si>
  <si>
    <t>MATURITY_SCORE</t>
  </si>
  <si>
    <t>linked_evidence_ids</t>
  </si>
  <si>
    <t>Bukti Terkait</t>
  </si>
  <si>
    <t>Diubah Pada</t>
  </si>
  <si>
    <t>finding_code</t>
  </si>
  <si>
    <t>Kode Temuan</t>
  </si>
  <si>
    <t>finding_type</t>
  </si>
  <si>
    <t>Jenis Temuan</t>
  </si>
  <si>
    <t>FINDING_TYPE</t>
  </si>
  <si>
    <t>criteria_regulation</t>
  </si>
  <si>
    <t>Kriteria Regulasi/Standar Mutu</t>
  </si>
  <si>
    <t>criteria_iso</t>
  </si>
  <si>
    <t>Klausul ISO Proses Bisnis</t>
  </si>
  <si>
    <t>ISO_CLAUSE</t>
  </si>
  <si>
    <t>condition</t>
  </si>
  <si>
    <t>Kondisi</t>
  </si>
  <si>
    <t>gap_statement</t>
  </si>
  <si>
    <t>Pernyataan Kesenjangan</t>
  </si>
  <si>
    <t>risk_impact</t>
  </si>
  <si>
    <t>Dampak/Risiko</t>
  </si>
  <si>
    <t>finding_status</t>
  </si>
  <si>
    <t>Status Temuan</t>
  </si>
  <si>
    <t>FINDING_STATUS</t>
  </si>
  <si>
    <t>owner_user_id</t>
  </si>
  <si>
    <t>PIC Unit</t>
  </si>
  <si>
    <t>KETUA_AUDITOR|KEPALA_UNIT</t>
  </si>
  <si>
    <t>USER_BY_UNIT</t>
  </si>
  <si>
    <t>due_date</t>
  </si>
  <si>
    <t>Batas Tindak Lanjut</t>
  </si>
  <si>
    <t>created_by</t>
  </si>
  <si>
    <t>Dibuat Oleh</t>
  </si>
  <si>
    <t>Disetujui Oleh</t>
  </si>
  <si>
    <t>Waktu Persetujuan</t>
  </si>
  <si>
    <t>action_id</t>
  </si>
  <si>
    <t>ID Tindakan</t>
  </si>
  <si>
    <t>correction</t>
  </si>
  <si>
    <t>Koreksi Langsung</t>
  </si>
  <si>
    <t>analysis_method</t>
  </si>
  <si>
    <t>Metode Analisis</t>
  </si>
  <si>
    <t>ROOT_CAUSE_METHOD</t>
  </si>
  <si>
    <t>root_cause_statement</t>
  </si>
  <si>
    <t>Akar Penyebab</t>
  </si>
  <si>
    <t>corrective_action</t>
  </si>
  <si>
    <t>Tindakan Korektif</t>
  </si>
  <si>
    <t>success_indicator</t>
  </si>
  <si>
    <t>Indikator Keberhasilan</t>
  </si>
  <si>
    <t>pic_user_id</t>
  </si>
  <si>
    <t>PIC</t>
  </si>
  <si>
    <t>target_date</t>
  </si>
  <si>
    <t>Target Selesai</t>
  </si>
  <si>
    <t>progress_percent</t>
  </si>
  <si>
    <t>Kemajuan (%)</t>
  </si>
  <si>
    <t>progress_note</t>
  </si>
  <si>
    <t>Uraian Kemajuan</t>
  </si>
  <si>
    <t>progress_evidence_ids</t>
  </si>
  <si>
    <t>Bukti Kemajuan</t>
  </si>
  <si>
    <t>action_status</t>
  </si>
  <si>
    <t>Status Tindakan</t>
  </si>
  <si>
    <t>ACTION_STATUS</t>
  </si>
  <si>
    <t>verification_id</t>
  </si>
  <si>
    <t>ID Verifikasi</t>
  </si>
  <si>
    <t>ACTION</t>
  </si>
  <si>
    <t>verifier_user_id</t>
  </si>
  <si>
    <t>Verifikator</t>
  </si>
  <si>
    <t>verification_date</t>
  </si>
  <si>
    <t>Tanggal Verifikasi</t>
  </si>
  <si>
    <t>implementation_result</t>
  </si>
  <si>
    <t>Hasil Pelaksanaan</t>
  </si>
  <si>
    <t>effectiveness_result</t>
  </si>
  <si>
    <t>Hasil Efektivitas</t>
  </si>
  <si>
    <t>verification_status</t>
  </si>
  <si>
    <t>Status Verifikasi</t>
  </si>
  <si>
    <t>VERIFICATION_STATUS</t>
  </si>
  <si>
    <t>next_review_date</t>
  </si>
  <si>
    <t>Tanggal Tinjau Ulang</t>
  </si>
  <si>
    <t>verification_evidence_ids</t>
  </si>
  <si>
    <t>Bukti Verifikasi</t>
  </si>
  <si>
    <t>closed_at</t>
  </si>
  <si>
    <t>Waktu Penutupan</t>
  </si>
  <si>
    <t>approval_id</t>
  </si>
  <si>
    <t>ID Persetujuan</t>
  </si>
  <si>
    <t>Jenis Entitas</t>
  </si>
  <si>
    <t>ID Entitas</t>
  </si>
  <si>
    <t>approval_step</t>
  </si>
  <si>
    <t>Tahap Persetujuan</t>
  </si>
  <si>
    <t>10_WORKFLOW</t>
  </si>
  <si>
    <t>approver_user_id</t>
  </si>
  <si>
    <t>Pemberi Keputusan</t>
  </si>
  <si>
    <t>decision</t>
  </si>
  <si>
    <t>Keputusan</t>
  </si>
  <si>
    <t>APPROVAL_DECISION</t>
  </si>
  <si>
    <t>decision_note</t>
  </si>
  <si>
    <t>Catatan Keputusan</t>
  </si>
  <si>
    <t>APPROVER_ROLE</t>
  </si>
  <si>
    <t>decided_at</t>
  </si>
  <si>
    <t>Waktu Keputusan</t>
  </si>
  <si>
    <t>ID Log</t>
  </si>
  <si>
    <t>Waktu</t>
  </si>
  <si>
    <t>Username</t>
  </si>
  <si>
    <t>Peran</t>
  </si>
  <si>
    <t>Kode Aksi</t>
  </si>
  <si>
    <t>23_SYSTEM_EVENTS</t>
  </si>
  <si>
    <t>Nilai Lama</t>
  </si>
  <si>
    <t>Nilai Baru</t>
  </si>
  <si>
    <t>Hasil</t>
  </si>
  <si>
    <t>LOG_RESULT</t>
  </si>
  <si>
    <t>total_questions</t>
  </si>
  <si>
    <t>Jumlah Pertanyaan</t>
  </si>
  <si>
    <t>answered_questions</t>
  </si>
  <si>
    <t>Pertanyaan Terjawab</t>
  </si>
  <si>
    <t>conformity_count</t>
  </si>
  <si>
    <t>Jumlah Sesuai</t>
  </si>
  <si>
    <t>ofi_count</t>
  </si>
  <si>
    <t>Jumlah OFI</t>
  </si>
  <si>
    <t>obs_count</t>
  </si>
  <si>
    <t>Jumlah Observasi</t>
  </si>
  <si>
    <t>nc_minor_count</t>
  </si>
  <si>
    <t>Jumlah NC Minor</t>
  </si>
  <si>
    <t>nc_major_count</t>
  </si>
  <si>
    <t>Jumlah NC Mayor</t>
  </si>
  <si>
    <t>open_findings</t>
  </si>
  <si>
    <t>Temuan Terbuka</t>
  </si>
  <si>
    <t>overdue_actions</t>
  </si>
  <si>
    <t>Tindakan Terlambat</t>
  </si>
  <si>
    <t>maturity_index</t>
  </si>
  <si>
    <t>Indeks Kematangan</t>
  </si>
  <si>
    <t>last_calculated_at</t>
  </si>
  <si>
    <t>Terakhir Dihitung</t>
  </si>
  <si>
    <t>print_id</t>
  </si>
  <si>
    <t>ID Cetak</t>
  </si>
  <si>
    <t>print_code</t>
  </si>
  <si>
    <t>Kode Dokumen</t>
  </si>
  <si>
    <t>25_PRINT_TEMPLATES</t>
  </si>
  <si>
    <t>PRINT_TEMPLATE</t>
  </si>
  <si>
    <t>Nama File PDF</t>
  </si>
  <si>
    <t>version</t>
  </si>
  <si>
    <t>Versi</t>
  </si>
  <si>
    <t>ID File PDF</t>
  </si>
  <si>
    <t>Tautan PDF</t>
  </si>
  <si>
    <t>print_status</t>
  </si>
  <si>
    <t>Status Cetak</t>
  </si>
  <si>
    <t>PRINT_STATUS</t>
  </si>
  <si>
    <t>generated_by</t>
  </si>
  <si>
    <t>Dibentuk Oleh</t>
  </si>
  <si>
    <t>generated_at</t>
  </si>
  <si>
    <t>Waktu Dibentuk</t>
  </si>
  <si>
    <t>role_name</t>
  </si>
  <si>
    <t>role_level</t>
  </si>
  <si>
    <t>unit_restricted</t>
  </si>
  <si>
    <t>SUPER_ADMIN</t>
  </si>
  <si>
    <t>Super Administrator</t>
  </si>
  <si>
    <t>Konfigurasi penuh sistem dan database</t>
  </si>
  <si>
    <t>Administrator Mutu</t>
  </si>
  <si>
    <t>Mengelola master standar, instrumen, program audit, dan laporan</t>
  </si>
  <si>
    <t>MANAJER_AUDIT</t>
  </si>
  <si>
    <t>Manajer Program Audit</t>
  </si>
  <si>
    <t>Menetapkan program, ruang lingkup, tim, dan persetujuan laporan</t>
  </si>
  <si>
    <t>Mengendalikan pelaksanaan audit dan reviu temuan</t>
  </si>
  <si>
    <t>Desk review, kertas kerja, pengujian, dan temuan</t>
  </si>
  <si>
    <t>Auditee/PIC</t>
  </si>
  <si>
    <t>Mengisi penilaian mandiri dan tindak lanjut</t>
  </si>
  <si>
    <t>Mengesahkan jawaban unit dan rencana tindakan</t>
  </si>
  <si>
    <t>Memeriksa pelaksanaan dan efektivitas tindakan</t>
  </si>
  <si>
    <t>PIMPINAN</t>
  </si>
  <si>
    <t>Pimpinan</t>
  </si>
  <si>
    <t>Dashboard, persetujuan, dan keputusan tinjauan manajemen</t>
  </si>
  <si>
    <t>SPI_OBSERVER</t>
  </si>
  <si>
    <t>SPI/Observer</t>
  </si>
  <si>
    <t>Akses pemantauan dan analisis pengawasan nonakademik</t>
  </si>
  <si>
    <t>SEKRETARIAT</t>
  </si>
  <si>
    <t>Sekretariat Audit</t>
  </si>
  <si>
    <t>Administrasi jadwal, surat tugas, berita acara, dan notifikasi</t>
  </si>
  <si>
    <t>P4MP_VERIFIKATOR</t>
  </si>
  <si>
    <t>Verifikator Instrumen P4MP</t>
  </si>
  <si>
    <t>Menelaah dan menyetujui perubahan instrumen sebelum diterbitkan kepada auditee</t>
  </si>
  <si>
    <t>permission_code</t>
  </si>
  <si>
    <t>module_code</t>
  </si>
  <si>
    <t>action</t>
  </si>
  <si>
    <t>SYSTEM.VIEW</t>
  </si>
  <si>
    <t>VIEW</t>
  </si>
  <si>
    <t>View pada modul SYSTEM</t>
  </si>
  <si>
    <t>SYSTEM.MANAGE</t>
  </si>
  <si>
    <t>MANAGE</t>
  </si>
  <si>
    <t>Manage pada modul SYSTEM</t>
  </si>
  <si>
    <t>MASTER.VIEW</t>
  </si>
  <si>
    <t>MASTER</t>
  </si>
  <si>
    <t>View pada modul MASTER</t>
  </si>
  <si>
    <t>MASTER.CREATE</t>
  </si>
  <si>
    <t>Create pada modul MASTER</t>
  </si>
  <si>
    <t>MASTER.UPDATE</t>
  </si>
  <si>
    <t>Update pada modul MASTER</t>
  </si>
  <si>
    <t>MASTER.DEACTIVATE</t>
  </si>
  <si>
    <t>DEACTIVATE</t>
  </si>
  <si>
    <t>Deactivate pada modul MASTER</t>
  </si>
  <si>
    <t>MASTER.PUBLISH</t>
  </si>
  <si>
    <t>PUBLISH</t>
  </si>
  <si>
    <t>Publish pada modul MASTER</t>
  </si>
  <si>
    <t>AUDIT_PROGRAM.VIEW</t>
  </si>
  <si>
    <t>View pada modul AUDIT_PROGRAM</t>
  </si>
  <si>
    <t>AUDIT_PROGRAM.CREATE</t>
  </si>
  <si>
    <t>Create pada modul AUDIT_PROGRAM</t>
  </si>
  <si>
    <t>AUDIT_PROGRAM.UPDATE</t>
  </si>
  <si>
    <t>Update pada modul AUDIT_PROGRAM</t>
  </si>
  <si>
    <t>AUDIT_PROGRAM.ASSIGN</t>
  </si>
  <si>
    <t>ASSIGN</t>
  </si>
  <si>
    <t>Assign pada modul AUDIT_PROGRAM</t>
  </si>
  <si>
    <t>AUDIT_PROGRAM.APPROVE</t>
  </si>
  <si>
    <t>APPROVE</t>
  </si>
  <si>
    <t>Approve pada modul AUDIT_PROGRAM</t>
  </si>
  <si>
    <t>SELF_ASSESSMENT.VIEW</t>
  </si>
  <si>
    <t>SELF_ASSESSMENT</t>
  </si>
  <si>
    <t>View pada modul SELF_ASSESSMENT</t>
  </si>
  <si>
    <t>SELF_ASSESSMENT.EDIT</t>
  </si>
  <si>
    <t>EDIT</t>
  </si>
  <si>
    <t>Edit pada modul SELF_ASSESSMENT</t>
  </si>
  <si>
    <t>SELF_ASSESSMENT.SUBMIT</t>
  </si>
  <si>
    <t>SUBMIT</t>
  </si>
  <si>
    <t>Submit pada modul SELF_ASSESSMENT</t>
  </si>
  <si>
    <t>SELF_ASSESSMENT.APPROVE</t>
  </si>
  <si>
    <t>Approve pada modul SELF_ASSESSMENT</t>
  </si>
  <si>
    <t>EVIDENCE.VIEW</t>
  </si>
  <si>
    <t>View pada modul EVIDENCE</t>
  </si>
  <si>
    <t>EVIDENCE.UPLOAD</t>
  </si>
  <si>
    <t>Upload pada modul EVIDENCE</t>
  </si>
  <si>
    <t>EVIDENCE.VALIDATE</t>
  </si>
  <si>
    <t>VALIDATE</t>
  </si>
  <si>
    <t>Validate pada modul EVIDENCE</t>
  </si>
  <si>
    <t>EVIDENCE.DELETE</t>
  </si>
  <si>
    <t>DELETE</t>
  </si>
  <si>
    <t>Delete pada modul EVIDENCE</t>
  </si>
  <si>
    <t>WORKPAPER.VIEW</t>
  </si>
  <si>
    <t>View pada modul WORKPAPER</t>
  </si>
  <si>
    <t>WORKPAPER.EDIT</t>
  </si>
  <si>
    <t>Edit pada modul WORKPAPER</t>
  </si>
  <si>
    <t>WORKPAPER.SUBMIT</t>
  </si>
  <si>
    <t>Submit pada modul WORKPAPER</t>
  </si>
  <si>
    <t>WORKPAPER.REVIEW</t>
  </si>
  <si>
    <t>REVIEW</t>
  </si>
  <si>
    <t>Review pada modul WORKPAPER</t>
  </si>
  <si>
    <t>FINDING.VIEW</t>
  </si>
  <si>
    <t>View pada modul FINDING</t>
  </si>
  <si>
    <t>FINDING.CREATE</t>
  </si>
  <si>
    <t>Create pada modul FINDING</t>
  </si>
  <si>
    <t>FINDING.UPDATE</t>
  </si>
  <si>
    <t>Update pada modul FINDING</t>
  </si>
  <si>
    <t>FINDING.APPROVE</t>
  </si>
  <si>
    <t>Approve pada modul FINDING</t>
  </si>
  <si>
    <t>FINDING.CLOSE</t>
  </si>
  <si>
    <t>CLOSE</t>
  </si>
  <si>
    <t>Close pada modul FINDING</t>
  </si>
  <si>
    <t>CAPA.VIEW</t>
  </si>
  <si>
    <t>CAPA</t>
  </si>
  <si>
    <t>View pada modul CAPA</t>
  </si>
  <si>
    <t>CAPA.CREATE</t>
  </si>
  <si>
    <t>Create pada modul CAPA</t>
  </si>
  <si>
    <t>CAPA.UPDATE</t>
  </si>
  <si>
    <t>Update pada modul CAPA</t>
  </si>
  <si>
    <t>CAPA.SUBMIT</t>
  </si>
  <si>
    <t>Submit pada modul CAPA</t>
  </si>
  <si>
    <t>CAPA.VERIFY</t>
  </si>
  <si>
    <t>VERIFY</t>
  </si>
  <si>
    <t>Verify pada modul CAPA</t>
  </si>
  <si>
    <t>REPORT.VIEW</t>
  </si>
  <si>
    <t>View pada modul REPORT</t>
  </si>
  <si>
    <t>REPORT.EXPORT</t>
  </si>
  <si>
    <t>EXPORT</t>
  </si>
  <si>
    <t>Export pada modul REPORT</t>
  </si>
  <si>
    <t>REPORT.APPROVE</t>
  </si>
  <si>
    <t>Approve pada modul REPORT</t>
  </si>
  <si>
    <t>DASHBOARD.VIEW_EXECUTIVE</t>
  </si>
  <si>
    <t>DASHBOARD</t>
  </si>
  <si>
    <t>VIEW_EXECUTIVE</t>
  </si>
  <si>
    <t>View Executive pada modul DASHBOARD</t>
  </si>
  <si>
    <t>DASHBOARD.VIEW_UNIT</t>
  </si>
  <si>
    <t>VIEW_UNIT</t>
  </si>
  <si>
    <t>View Unit pada modul DASHBOARD</t>
  </si>
  <si>
    <t>DASHBOARD.VIEW_AUDITOR</t>
  </si>
  <si>
    <t>VIEW_AUDITOR</t>
  </si>
  <si>
    <t>View Auditor pada modul DASHBOARD</t>
  </si>
  <si>
    <t>AUDIT_FILE.VIEW</t>
  </si>
  <si>
    <t>AUDIT_FILE</t>
  </si>
  <si>
    <t>Melihat registry dan file audit unit-tahun</t>
  </si>
  <si>
    <t>AUDIT_FILE.CREATE</t>
  </si>
  <si>
    <t>Membuat folder dan Google Sheet audit unit-tahun</t>
  </si>
  <si>
    <t>AUDIT_FILE.ACTIVATE</t>
  </si>
  <si>
    <t>ACTIVATE</t>
  </si>
  <si>
    <t>Mengaktifkan file audit setelah struktur dan folder lengkap</t>
  </si>
  <si>
    <t>AUDIT_FILE.ARCHIVE</t>
  </si>
  <si>
    <t>ARCHIVE</t>
  </si>
  <si>
    <t>Mengarsipkan file audit yang telah ditutup</t>
  </si>
  <si>
    <t>INSTRUMENT.VIEW</t>
  </si>
  <si>
    <t>Melihat instrumen audit unit-tahun</t>
  </si>
  <si>
    <t>INSTRUMENT.REVIEW</t>
  </si>
  <si>
    <t>Menelaah seluruh pertanyaan default</t>
  </si>
  <si>
    <t>INSTRUMENT.EDIT</t>
  </si>
  <si>
    <t>Mengubah salinan pertanyaan untuk audit tertentu</t>
  </si>
  <si>
    <t>INSTRUMENT.SUBMIT</t>
  </si>
  <si>
    <t>Mengajukan perubahan instrumen kepada Verifikator/P4MP</t>
  </si>
  <si>
    <t>INSTRUMENT.APPROVE</t>
  </si>
  <si>
    <t>Menyetujui atau mengembalikan perubahan instrumen</t>
  </si>
  <si>
    <t>INSTRUMENT.PUBLISH</t>
  </si>
  <si>
    <t>Menerbitkan instrumen kepada auditee</t>
  </si>
  <si>
    <t>PRINT.VIEW</t>
  </si>
  <si>
    <t>PRINT</t>
  </si>
  <si>
    <t>Melihat daftar dokumen cetak</t>
  </si>
  <si>
    <t>PRINT.GENERATE</t>
  </si>
  <si>
    <t>GENERATE</t>
  </si>
  <si>
    <t>Membentuk PDF dari file audit unit-tahun</t>
  </si>
  <si>
    <t>PRINT.APPROVE</t>
  </si>
  <si>
    <t>Mengesahkan versi cetak final</t>
  </si>
  <si>
    <t>USER_ACCOUNT.VIEW</t>
  </si>
  <si>
    <t>USER_ACCOUNT</t>
  </si>
  <si>
    <t>Melihat akun pengguna sistem</t>
  </si>
  <si>
    <t>USER_ACCOUNT.CREATE</t>
  </si>
  <si>
    <t>Mendaftarkan username dan password</t>
  </si>
  <si>
    <t>USER_ACCOUNT.UPDATE</t>
  </si>
  <si>
    <t>Mengubah nama, unit, role, dan konfigurasi akun</t>
  </si>
  <si>
    <t>USER_ACCOUNT.ACTIVATE</t>
  </si>
  <si>
    <t>Mengaktifkan akun</t>
  </si>
  <si>
    <t>USER_ACCOUNT.DEACTIVATE</t>
  </si>
  <si>
    <t>Menonaktifkan akun</t>
  </si>
  <si>
    <t>USER_ACCOUNT.RESET_PASSWORD</t>
  </si>
  <si>
    <t>RESET_PASSWORD</t>
  </si>
  <si>
    <t>Mengatur ulang password pengguna</t>
  </si>
  <si>
    <t>allow</t>
  </si>
  <si>
    <t>scope_rule</t>
  </si>
  <si>
    <t>SYSTEM.*</t>
  </si>
  <si>
    <t>ROLE_ONLY</t>
  </si>
  <si>
    <t>Wildcard * diurai oleh permission service</t>
  </si>
  <si>
    <t>MASTER.*</t>
  </si>
  <si>
    <t>AUDIT_PROGRAM.*</t>
  </si>
  <si>
    <t>SELF_ASSESSMENT.*</t>
  </si>
  <si>
    <t>EVIDENCE.*</t>
  </si>
  <si>
    <t>WORKPAPER.*</t>
  </si>
  <si>
    <t>FINDING.*</t>
  </si>
  <si>
    <t>CAPA.*</t>
  </si>
  <si>
    <t>REPORT.*</t>
  </si>
  <si>
    <t>DASHBOARD.*</t>
  </si>
  <si>
    <t>ROLE_AND_UNIT</t>
  </si>
  <si>
    <t>AUDIT_FILE.*</t>
  </si>
  <si>
    <t>Akses penuh registry dan file audit</t>
  </si>
  <si>
    <t>INSTRUMENT.*</t>
  </si>
  <si>
    <t>Akses penuh instrumen</t>
  </si>
  <si>
    <t>PRINT.*</t>
  </si>
  <si>
    <t>Akses penuh dokumen cetak</t>
  </si>
  <si>
    <t>USER_ACCOUNT.*</t>
  </si>
  <si>
    <t>Akses penuh akun pengguna</t>
  </si>
  <si>
    <t>Membuat, mengaktifkan, dan mengarsipkan file audit</t>
  </si>
  <si>
    <t>Mengelola dan menyetujui instrumen</t>
  </si>
  <si>
    <t>Mengelola dokumen cetak</t>
  </si>
  <si>
    <t>Mengelola akun pengguna</t>
  </si>
  <si>
    <t>Melihat file audit</t>
  </si>
  <si>
    <t>Membentuk folder dan file audit</t>
  </si>
  <si>
    <t>Mengaktifkan file audit</t>
  </si>
  <si>
    <t>ASSIGNED_AUDIT</t>
  </si>
  <si>
    <t>Instrumen audit yang ditugaskan</t>
  </si>
  <si>
    <t>Telaah seluruh butir</t>
  </si>
  <si>
    <t>Mengubah salinan instrumen</t>
  </si>
  <si>
    <t>Mengajukan instrumen berubah</t>
  </si>
  <si>
    <t>Menerbitkan instrumen tanpa perubahan</t>
  </si>
  <si>
    <t>Melihat instrumen penugasan</t>
  </si>
  <si>
    <t>Menelaah pertanyaan default</t>
  </si>
  <si>
    <t>Mengubah salinan pertanyaan</t>
  </si>
  <si>
    <t>Mengajukan perubahan</t>
  </si>
  <si>
    <t>Melihat instrumen yang diajukan</t>
  </si>
  <si>
    <t>Menyetujui atau mengembalikan perubahan</t>
  </si>
  <si>
    <t>Menerbitkan instrumen yang telah disetujui</t>
  </si>
  <si>
    <t>Verifikasi efektivitas tindak lanjut</t>
  </si>
  <si>
    <t>ROLE_AND_UNIT_PUBLISHED_ONLY</t>
  </si>
  <si>
    <t>Hanya pertanyaan terbit pada file unitnya</t>
  </si>
  <si>
    <t>Hanya instrumen terbit unitnya</t>
  </si>
  <si>
    <t>Membentuk dokumen cetak audit</t>
  </si>
  <si>
    <t>Mengesahkan dokumen cetak final</t>
  </si>
  <si>
    <t>Persetujuan dokumen yang memerlukan keputusan pimpinan</t>
  </si>
  <si>
    <t>menu_code</t>
  </si>
  <si>
    <t>parent_code</t>
  </si>
  <si>
    <t>menu_title</t>
  </si>
  <si>
    <t>route</t>
  </si>
  <si>
    <t>icon</t>
  </si>
  <si>
    <t>allowed_roles</t>
  </si>
  <si>
    <t>visibility_rule</t>
  </si>
  <si>
    <t>Dashboard</t>
  </si>
  <si>
    <t>/dashboard</t>
  </si>
  <si>
    <t>dashboard</t>
  </si>
  <si>
    <t>Ringkasan sesuai role dan unit</t>
  </si>
  <si>
    <t>Master Sistem</t>
  </si>
  <si>
    <t>/master</t>
  </si>
  <si>
    <t>settings</t>
  </si>
  <si>
    <t>SUPER_ADMIN|ADMIN_MUTU</t>
  </si>
  <si>
    <t>Data master tetap berada di Sheet Sistem</t>
  </si>
  <si>
    <t>MASTER_ORG</t>
  </si>
  <si>
    <t>Organisasi dan Tupoksi</t>
  </si>
  <si>
    <t>/master/organization</t>
  </si>
  <si>
    <t>account_tree</t>
  </si>
  <si>
    <t>MASTER_STD</t>
  </si>
  <si>
    <t>Standar dan Kriteria</t>
  </si>
  <si>
    <t>/master/standards</t>
  </si>
  <si>
    <t>rule</t>
  </si>
  <si>
    <t>Regulasi mutu, standar internal, dan ISO proses</t>
  </si>
  <si>
    <t>MASTER_Q</t>
  </si>
  <si>
    <t>Bank Pertanyaan Default</t>
  </si>
  <si>
    <t>/master/questions</t>
  </si>
  <si>
    <t>quiz</t>
  </si>
  <si>
    <t>Tidak berisi jawaban audit</t>
  </si>
  <si>
    <t>MASTER_USERS</t>
  </si>
  <si>
    <t>Pengguna Sistem</t>
  </si>
  <si>
    <t>/master/users</t>
  </si>
  <si>
    <t>manage_accounts</t>
  </si>
  <si>
    <t>Username, password, unit, role, dan status aktif</t>
  </si>
  <si>
    <t>Rencana Audit</t>
  </si>
  <si>
    <t>/audit-programs</t>
  </si>
  <si>
    <t>event_note</t>
  </si>
  <si>
    <t>SUPER_ADMIN|ADMIN_MUTU|MANAJER_AUDIT|SEKRETARIAT</t>
  </si>
  <si>
    <t>Rencana tetap dikelola oleh sistem</t>
  </si>
  <si>
    <t>Registry File Audit</t>
  </si>
  <si>
    <t>/audit-files</t>
  </si>
  <si>
    <t>folder_copy</t>
  </si>
  <si>
    <t>SUPER_ADMIN|ADMIN_MUTU|MANAJER_AUDIT|SEKRETARIAT|KETUA_AUDITOR</t>
  </si>
  <si>
    <t>Menunjuk Google Sheet nama_unit_tahunaudit</t>
  </si>
  <si>
    <t>INSTRUMENT_REVIEW</t>
  </si>
  <si>
    <t>Telaah Instrumen</t>
  </si>
  <si>
    <t>/instrument-review</t>
  </si>
  <si>
    <t>fact_check</t>
  </si>
  <si>
    <t>Transaksi review disimpan di 01_INSTRUMEN file audit</t>
  </si>
  <si>
    <t>MY_AUDIT</t>
  </si>
  <si>
    <t>Audit Saya</t>
  </si>
  <si>
    <t>/my-audits</t>
  </si>
  <si>
    <t>assignment</t>
  </si>
  <si>
    <t>AUDITEE|KEPALA_UNIT|AUDITOR|KETUA_AUDITOR|VERIFIKATOR|P4MP_VERIFIKATOR</t>
  </si>
  <si>
    <t>assigned_or_unit_scope=true</t>
  </si>
  <si>
    <t>Membuka file audit sesuai penugasan atau unit</t>
  </si>
  <si>
    <t>/my-audits/:id/self-assessment</t>
  </si>
  <si>
    <t>edit_document</t>
  </si>
  <si>
    <t>instrument_status=PUBLISHED</t>
  </si>
  <si>
    <t>Sumber: 02_JAWABAN_AUDITEE</t>
  </si>
  <si>
    <t>Bukti dan Lampiran</t>
  </si>
  <si>
    <t>/my-audits/:id/evidence</t>
  </si>
  <si>
    <t>folder</t>
  </si>
  <si>
    <t>Sumber: 03_BUKTI; file fisik di EVIDENCE</t>
  </si>
  <si>
    <t>/my-audits/:id/workpapers</t>
  </si>
  <si>
    <t>clinical_notes</t>
  </si>
  <si>
    <t>assigned_audit=true</t>
  </si>
  <si>
    <t>Sumber: 04_KERTAS_KERJA</t>
  </si>
  <si>
    <t>Temuan</t>
  </si>
  <si>
    <t>/my-audits/:id/findings</t>
  </si>
  <si>
    <t>report_problem</t>
  </si>
  <si>
    <t>AUDITOR|KETUA_AUDITOR|AUDITEE|KEPALA_UNIT|VERIFIKATOR|P4MP_VERIFIKATOR|ADMIN_MUTU</t>
  </si>
  <si>
    <t>Sumber: 05_TEMUAN</t>
  </si>
  <si>
    <t>/my-audits/:id/follow-up</t>
  </si>
  <si>
    <t>build</t>
  </si>
  <si>
    <t>Sumber: 06_TINDAK_LANJUT</t>
  </si>
  <si>
    <t>/my-audits/:id/verification</t>
  </si>
  <si>
    <t>verified</t>
  </si>
  <si>
    <t>VERIFIKATOR|P4MP_VERIFIKATOR|AUDITOR|KETUA_AUDITOR|AUDITEE|KEPALA_UNIT</t>
  </si>
  <si>
    <t>Sumber: 07_VERIFIKASI</t>
  </si>
  <si>
    <t>Dokumen Cetak</t>
  </si>
  <si>
    <t>/print-documents</t>
  </si>
  <si>
    <t>picture_as_pdf</t>
  </si>
  <si>
    <t>PDF disimpan pada folder CETAK unit-tahun</t>
  </si>
  <si>
    <t>Rekap Institusi</t>
  </si>
  <si>
    <t>/reports</t>
  </si>
  <si>
    <t>analytics</t>
  </si>
  <si>
    <t>SUPER_ADMIN|ADMIN_MUTU|MANAJER_AUDIT|PIMPINAN|SPI_OBSERVER</t>
  </si>
  <si>
    <t>Dibaca dari registry dan file audit, bukan transaksi di Sheet Sistem</t>
  </si>
  <si>
    <t>SYSTEM_LOG</t>
  </si>
  <si>
    <t>Log Sistem</t>
  </si>
  <si>
    <t>/system/logs</t>
  </si>
  <si>
    <t>history</t>
  </si>
  <si>
    <t>Log konfigurasi; log audit berada di 09_LOG masing-masing file</t>
  </si>
  <si>
    <t>form_code</t>
  </si>
  <si>
    <t>section_code</t>
  </si>
  <si>
    <t>component_type</t>
  </si>
  <si>
    <t>storage_scope</t>
  </si>
  <si>
    <t>source_sheet_code</t>
  </si>
  <si>
    <t>validation_rule</t>
  </si>
  <si>
    <t>MAIN</t>
  </si>
  <si>
    <t>PUBLIC</t>
  </si>
  <si>
    <t>minLength:3</t>
  </si>
  <si>
    <t>Tidak menggunakan email Google</t>
  </si>
  <si>
    <t>password</t>
  </si>
  <si>
    <t>Password</t>
  </si>
  <si>
    <t>PASSWORD</t>
  </si>
  <si>
    <t>minLength:6</t>
  </si>
  <si>
    <t>Dicocokkan dengan kolom password pada 27_USERS</t>
  </si>
  <si>
    <t>unique|minLength:3</t>
  </si>
  <si>
    <t>full_name</t>
  </si>
  <si>
    <t>Nama Lengkap</t>
  </si>
  <si>
    <t>ACCESS</t>
  </si>
  <si>
    <t>Unit</t>
  </si>
  <si>
    <t>SELECT</t>
  </si>
  <si>
    <t>role_codes</t>
  </si>
  <si>
    <t>MULTI_SELECT</t>
  </si>
  <si>
    <t>ROLE</t>
  </si>
  <si>
    <t>minItems:1</t>
  </si>
  <si>
    <t>Status Akun</t>
  </si>
  <si>
    <t>ACTIVE_STATUS</t>
  </si>
  <si>
    <t>audit_title</t>
  </si>
  <si>
    <t>Judul Audit</t>
  </si>
  <si>
    <t>ADMIN_MUTU|MANAJER_AUDIT|SEKRETARIAT</t>
  </si>
  <si>
    <t>minLength:5</t>
  </si>
  <si>
    <t>Rencana audit, bukan transaksi hasil audit</t>
  </si>
  <si>
    <t>fourDigitYear</t>
  </si>
  <si>
    <t>Menentukan nama file unit-tahun</t>
  </si>
  <si>
    <t>Unit Auditee</t>
  </si>
  <si>
    <t>SCHEDULE</t>
  </si>
  <si>
    <t>after:planned_start</t>
  </si>
  <si>
    <t>Pertanyaan Hasil Telaah</t>
  </si>
  <si>
    <t>TEXTAREA</t>
  </si>
  <si>
    <t>review_status=AUDITOR_REVIEW</t>
  </si>
  <si>
    <t>Default berasal dari 17_QUESTION_BANK</t>
  </si>
  <si>
    <t>min:1|max:3</t>
  </si>
  <si>
    <t>CHECKBOX</t>
  </si>
  <si>
    <t>Alasan Perubahan</t>
  </si>
  <si>
    <t>change_flag=TRUE</t>
  </si>
  <si>
    <t>requiredWhen:change_flag=true</t>
  </si>
  <si>
    <t>INSTRUMENT_APPROVAL</t>
  </si>
  <si>
    <t>DECISION</t>
  </si>
  <si>
    <t>RADIO</t>
  </si>
  <si>
    <t>instrument_status=PENDING_P4MP</t>
  </si>
  <si>
    <t>minLength:10</t>
  </si>
  <si>
    <t>evidence_files</t>
  </si>
  <si>
    <t>Lampiran Bukti</t>
  </si>
  <si>
    <t>FILE_MULTI</t>
  </si>
  <si>
    <t>maxFiles:10|maxSizeConfig:MAX_UPLOAD_MB</t>
  </si>
  <si>
    <t>File di folder EVIDENCE; metadata di 03_BUKTI</t>
  </si>
  <si>
    <t>TEST</t>
  </si>
  <si>
    <t>Sampel yang Diperiksa</t>
  </si>
  <si>
    <t>RESULT</t>
  </si>
  <si>
    <t>min:0|max:4</t>
  </si>
  <si>
    <t>CRITERIA</t>
  </si>
  <si>
    <t>FOLLOWUP</t>
  </si>
  <si>
    <t>ROOT_CAUSE</t>
  </si>
  <si>
    <t>PROGRESS</t>
  </si>
  <si>
    <t>min:0|max:100</t>
  </si>
  <si>
    <t>progress_evidence</t>
  </si>
  <si>
    <t>maxFiles:10</t>
  </si>
  <si>
    <t>verification_status=EFFECTIVE_WITH_MONITORING</t>
  </si>
  <si>
    <t>PRINT_DOCUMENT</t>
  </si>
  <si>
    <t>Jenis Dokumen</t>
  </si>
  <si>
    <t>ADMIN_MUTU|KETUA_AUDITOR|SEKRETARIAT</t>
  </si>
  <si>
    <t>min:1</t>
  </si>
  <si>
    <t>ADMIN_MUTU|MANAJER_AUDIT|PIMPINAN</t>
  </si>
  <si>
    <t>workflow_code</t>
  </si>
  <si>
    <t>workflow_name</t>
  </si>
  <si>
    <t>initial_status</t>
  </si>
  <si>
    <t>final_statuses</t>
  </si>
  <si>
    <t>AUDIT_FILE_LIFECYCLE</t>
  </si>
  <si>
    <t>Siklus File Audit Unit-Tahun</t>
  </si>
  <si>
    <t>NOT_CREATED</t>
  </si>
  <si>
    <t>ARCHIVED|CANCELLED</t>
  </si>
  <si>
    <t>Pembuatan folder, Google Sheet transaksi, subfolder bukti, subfolder cetak, dan registrasi ID</t>
  </si>
  <si>
    <t>INSTRUMENT_REVIEW_LIFECYCLE</t>
  </si>
  <si>
    <t>Telaah dan Penerbitan Instrumen</t>
  </si>
  <si>
    <t>AUDIT_INSTRUMENT</t>
  </si>
  <si>
    <t>GENERATED</t>
  </si>
  <si>
    <t>PUBLISHED|CANCELLED</t>
  </si>
  <si>
    <t>Pertanyaan default ditelaah auditor; perubahan wajib disetujui Verifikator/P4MP sebelum terbit</t>
  </si>
  <si>
    <t>AUDIT_LIFECYCLE</t>
  </si>
  <si>
    <t>Siklus Audit</t>
  </si>
  <si>
    <t>DRAFT</t>
  </si>
  <si>
    <t>CLOSED|CANCELLED</t>
  </si>
  <si>
    <t>Rencana audit, penerbitan instrumen, penilaian mandiri, audit auditor, laporan, tindak lanjut, dan penutupan</t>
  </si>
  <si>
    <t>SELF_ASSESSMENT_LIFECYCLE</t>
  </si>
  <si>
    <t>Penilaian Mandiri Auditee</t>
  </si>
  <si>
    <t>NOT_STARTED</t>
  </si>
  <si>
    <t>APPROVED</t>
  </si>
  <si>
    <t>Jawaban auditee hanya dibuka setelah instrumen berstatus PUBLISHED</t>
  </si>
  <si>
    <t>FINDING_LIFECYCLE</t>
  </si>
  <si>
    <t>Siklus Temuan</t>
  </si>
  <si>
    <t>CLOSED|VOID</t>
  </si>
  <si>
    <t>Perumusan, pengesahan, penyampaian, tindak lanjut, verifikasi, dan penutupan temuan</t>
  </si>
  <si>
    <t>CAPA_LIFECYCLE</t>
  </si>
  <si>
    <t>Siklus Tindak Lanjut</t>
  </si>
  <si>
    <t>CORRECTIVE_ACTION</t>
  </si>
  <si>
    <t>EFFECTIVE|REJECTED</t>
  </si>
  <si>
    <t>Koreksi, akar penyebab, tindakan korektif, pelaksanaan, dan verifikasi efektivitas</t>
  </si>
  <si>
    <t>PRINT_LIFECYCLE</t>
  </si>
  <si>
    <t>Siklus Dokumen Cetak</t>
  </si>
  <si>
    <t>FINAL|SUPERSEDED</t>
  </si>
  <si>
    <t>PDF berversi disimpan di folder CETAK pada folder audit unit-tahun</t>
  </si>
  <si>
    <t>from_status</t>
  </si>
  <si>
    <t>to_status</t>
  </si>
  <si>
    <t>required_fields</t>
  </si>
  <si>
    <t>condition_rule</t>
  </si>
  <si>
    <t>notification_rule</t>
  </si>
  <si>
    <t>CREATE_AUDIT_FILE</t>
  </si>
  <si>
    <t>CREATED</t>
  </si>
  <si>
    <t>unit_id|audit_year|planned_start|planned_end</t>
  </si>
  <si>
    <t>audit_program_status=PLANNED</t>
  </si>
  <si>
    <t>NTF_AUDIT_FILE_CREATED</t>
  </si>
  <si>
    <t>ACTIVATE_FILE</t>
  </si>
  <si>
    <t>spreadsheet_id|audit_folder_id|evidence_folder_id|print_folder_id</t>
  </si>
  <si>
    <t>registry_written=true</t>
  </si>
  <si>
    <t>NTF_AUDIT_FILE_ACTIVE</t>
  </si>
  <si>
    <t>ARCHIVE_FILE</t>
  </si>
  <si>
    <t>ARCHIVED</t>
  </si>
  <si>
    <t>audit_status=CLOSED</t>
  </si>
  <si>
    <t>all_print_documents_final=true</t>
  </si>
  <si>
    <t>NTF_AUDIT_FILE_ARCHIVED</t>
  </si>
  <si>
    <t>START_AUDITOR_REVIEW</t>
  </si>
  <si>
    <t>AUDITOR_REVIEW</t>
  </si>
  <si>
    <t>audit_question_count&gt;0</t>
  </si>
  <si>
    <t>audit_file_status=ACTIVE</t>
  </si>
  <si>
    <t>PUBLISH_UNCHANGED</t>
  </si>
  <si>
    <t>PUBLISHED</t>
  </si>
  <si>
    <t>all_questions_reviewed=true</t>
  </si>
  <si>
    <t>change_count=0</t>
  </si>
  <si>
    <t>NTF_INSTRUMENT_PUBLISHED</t>
  </si>
  <si>
    <t>SUBMIT_CHANGED</t>
  </si>
  <si>
    <t>PENDING_P4MP</t>
  </si>
  <si>
    <t>all_questions_reviewed=true|auditor_note=true</t>
  </si>
  <si>
    <t>change_count&gt;0</t>
  </si>
  <si>
    <t>NTF_INSTRUMENT_APPROVAL_REQUEST</t>
  </si>
  <si>
    <t>APPROVE_CHANGES</t>
  </si>
  <si>
    <t>decision_note=true</t>
  </si>
  <si>
    <t>changed_questions_checked=true</t>
  </si>
  <si>
    <t>NTF_INSTRUMENT_APPROVED</t>
  </si>
  <si>
    <t>RETURN_CHANGES</t>
  </si>
  <si>
    <t>RETURNED</t>
  </si>
  <si>
    <t>NTF_INSTRUMENT_RETURNED</t>
  </si>
  <si>
    <t>RESUBMIT_CHANGES</t>
  </si>
  <si>
    <t>auditor_note=true</t>
  </si>
  <si>
    <t>returned_items_resolved=true</t>
  </si>
  <si>
    <t>NTF_INSTRUMENT_RESUBMITTED</t>
  </si>
  <si>
    <t>PUBLISH_APPROVED</t>
  </si>
  <si>
    <t>approval_record=true</t>
  </si>
  <si>
    <t>APPROVE_PROGRAM</t>
  </si>
  <si>
    <t>PLANNED</t>
  </si>
  <si>
    <t>team_exists=true</t>
  </si>
  <si>
    <t>PREPARE_AUDIT_FILE</t>
  </si>
  <si>
    <t>FILE_PREPARATION</t>
  </si>
  <si>
    <t>unit_id|audit_year</t>
  </si>
  <si>
    <t>audit_file_status=NOT_CREATED</t>
  </si>
  <si>
    <t>NTF_AUDIT_FILE_PREPARE</t>
  </si>
  <si>
    <t>START_INSTRUMENT_REVIEW</t>
  </si>
  <si>
    <t>ADMIN_MUTU|KETUA_AUDITOR</t>
  </si>
  <si>
    <t>spreadsheet_id|audit_folder_id</t>
  </si>
  <si>
    <t>OPEN_SELF_ASSESSMENT</t>
  </si>
  <si>
    <t>NTF_SELF_ASSESSMENT_OPEN</t>
  </si>
  <si>
    <t>START_DESK_REVIEW</t>
  </si>
  <si>
    <t>DESK_REVIEW</t>
  </si>
  <si>
    <t>self_assessment_status=APPROVED</t>
  </si>
  <si>
    <t>NTF_DESK_REVIEW</t>
  </si>
  <si>
    <t>START_FIELD_AUDIT</t>
  </si>
  <si>
    <t>FIELD_AUDIT</t>
  </si>
  <si>
    <t>schedule_confirmed=true</t>
  </si>
  <si>
    <t>NTF_FIELD_AUDIT</t>
  </si>
  <si>
    <t>SUBMIT_REPORT</t>
  </si>
  <si>
    <t>REPORT_REVIEW</t>
  </si>
  <si>
    <t>workpapers_complete=true</t>
  </si>
  <si>
    <t>NTF_REPORT_REVIEW</t>
  </si>
  <si>
    <t>APPROVE_REPORT</t>
  </si>
  <si>
    <t>MANAJER_AUDIT|PIMPINAN</t>
  </si>
  <si>
    <t>report_approved=true</t>
  </si>
  <si>
    <t>NTF_REPORT_APPROVED</t>
  </si>
  <si>
    <t>CLOSE_AUDIT</t>
  </si>
  <si>
    <t>CLOSED</t>
  </si>
  <si>
    <t>all_findings_closed=true|print_documents_final=true</t>
  </si>
  <si>
    <t>NTF_AUDIT_CLOSED</t>
  </si>
  <si>
    <t>START</t>
  </si>
  <si>
    <t>IN_PROGRESS</t>
  </si>
  <si>
    <t>SUBMITTED</t>
  </si>
  <si>
    <t>mandatory_questions_complete=true</t>
  </si>
  <si>
    <t>NTF_SA_SUBMITTED</t>
  </si>
  <si>
    <t>NTF_SA_APPROVED</t>
  </si>
  <si>
    <t>RETURN</t>
  </si>
  <si>
    <t>NTF_SA_RETURNED</t>
  </si>
  <si>
    <t>SUBMIT_FINDING</t>
  </si>
  <si>
    <t>criteria_regulation|criteria_iso|condition|objective_evidence|gap_statement</t>
  </si>
  <si>
    <t>NTF_FINDING_REVIEW</t>
  </si>
  <si>
    <t>APPROVE_FINDING</t>
  </si>
  <si>
    <t>OPEN</t>
  </si>
  <si>
    <t>NTF_FINDING_OPEN</t>
  </si>
  <si>
    <t>SUBMIT_CAPA</t>
  </si>
  <si>
    <t>CAPA_REVIEW</t>
  </si>
  <si>
    <t>root_cause_statement|corrective_action</t>
  </si>
  <si>
    <t>NTF_CAPA_REVIEW</t>
  </si>
  <si>
    <t>APPROVE_CAPA</t>
  </si>
  <si>
    <t>IMPLEMENTATION</t>
  </si>
  <si>
    <t>KETUA_AUDITOR|MANAJER_AUDIT</t>
  </si>
  <si>
    <t>NTF_CAPA_APPROVED</t>
  </si>
  <si>
    <t>REQUEST_VERIFICATION</t>
  </si>
  <si>
    <t>progress_percent=100</t>
  </si>
  <si>
    <t>NTF_VERIFICATION_REQUEST</t>
  </si>
  <si>
    <t>CLOSE_EFFECTIVE</t>
  </si>
  <si>
    <t>verification_status=EFFECTIVE</t>
  </si>
  <si>
    <t>NTF_FINDING_CLOSED</t>
  </si>
  <si>
    <t>RETURN_ACTION</t>
  </si>
  <si>
    <t>verification_status=NOT_EFFECTIVE</t>
  </si>
  <si>
    <t>NTF_ACTION_RETURNED</t>
  </si>
  <si>
    <t>GENERATE_PDF</t>
  </si>
  <si>
    <t>source_sheets_ready=true</t>
  </si>
  <si>
    <t>NTF_PRINT_GENERATED</t>
  </si>
  <si>
    <t>APPROVE_PRINT</t>
  </si>
  <si>
    <t>FINAL</t>
  </si>
  <si>
    <t>approval_required=true</t>
  </si>
  <si>
    <t>pdf_saved_in_print_folder=true</t>
  </si>
  <si>
    <t>NTF_PRINT_FINAL</t>
  </si>
  <si>
    <t>unit_code</t>
  </si>
  <si>
    <t>parent_unit_code</t>
  </si>
  <si>
    <t>unit_type</t>
  </si>
  <si>
    <t>legal_basis</t>
  </si>
  <si>
    <t>effective_from</t>
  </si>
  <si>
    <t>effective_to</t>
  </si>
  <si>
    <t>UNIT-POLBENG</t>
  </si>
  <si>
    <t>POLBENG</t>
  </si>
  <si>
    <t>Politeknik Negeri Bengkalis</t>
  </si>
  <si>
    <t>INSTITUTION</t>
  </si>
  <si>
    <t>Permendikbudristek 43/2022</t>
  </si>
  <si>
    <t>Entitas induk</t>
  </si>
  <si>
    <t>UNIT-DIR</t>
  </si>
  <si>
    <t>DIREKTORAT</t>
  </si>
  <si>
    <t>Direktorat</t>
  </si>
  <si>
    <t>DIRECTORATE</t>
  </si>
  <si>
    <t>Pimpinan institusi</t>
  </si>
  <si>
    <t>UNIT-WD1</t>
  </si>
  <si>
    <t>WADIR1</t>
  </si>
  <si>
    <t>Wakil Direktur Bidang Akademik</t>
  </si>
  <si>
    <t>LEADERSHIP</t>
  </si>
  <si>
    <t>Koordinasi bidang akademik</t>
  </si>
  <si>
    <t>UNIT-WD2</t>
  </si>
  <si>
    <t>WADIR2</t>
  </si>
  <si>
    <t>Wakil Direktur Bidang Umum dan Keuangan</t>
  </si>
  <si>
    <t>Koordinasi umum dan keuangan</t>
  </si>
  <si>
    <t>UNIT-WD3</t>
  </si>
  <si>
    <t>WADIR3</t>
  </si>
  <si>
    <t>Wakil Direktur Bidang Kemahasiswaan dan Kerja Sama</t>
  </si>
  <si>
    <t>Koordinasi kemahasiswaan dan kerja sama</t>
  </si>
  <si>
    <t>UNIT-BAKPK</t>
  </si>
  <si>
    <t>BAG_AKPK</t>
  </si>
  <si>
    <t>Bagian Akademik, Kemahasiswaan, Perencanaan, dan Kerja Sama</t>
  </si>
  <si>
    <t>DIVISION</t>
  </si>
  <si>
    <t>Administrasi akademik, kemahasiswaan, perencanaan, dan kerja sama</t>
  </si>
  <si>
    <t>UNIT-BUK</t>
  </si>
  <si>
    <t>BAG_UK</t>
  </si>
  <si>
    <t>Bagian Umum dan Keuangan</t>
  </si>
  <si>
    <t>Administrasi umum, kepegawaian, keuangan, dan BMN</t>
  </si>
  <si>
    <t>P3M</t>
  </si>
  <si>
    <t>CENTER</t>
  </si>
  <si>
    <t>Pengelolaan penelitian dan pengabdian</t>
  </si>
  <si>
    <t>UNIT-P4MP</t>
  </si>
  <si>
    <t>P4MP</t>
  </si>
  <si>
    <t>Pusat Pengembangan Pembelajaran dan Penjaminan Mutu Pendidikan</t>
  </si>
  <si>
    <t>Pengembangan pembelajaran dan penjaminan mutu</t>
  </si>
  <si>
    <t>UNIT-SPI</t>
  </si>
  <si>
    <t>SPI</t>
  </si>
  <si>
    <t>Satuan Pengawas Internal</t>
  </si>
  <si>
    <t>OVERSIGHT</t>
  </si>
  <si>
    <t>Permendiktisaintek 57/2025</t>
  </si>
  <si>
    <t>Pengawasan internal bidang nonakademik</t>
  </si>
  <si>
    <t>UNIT-UPAP</t>
  </si>
  <si>
    <t>UPA_PERPUS</t>
  </si>
  <si>
    <t>UPA Perpustakaan</t>
  </si>
  <si>
    <t>UPA</t>
  </si>
  <si>
    <t>Layanan perpustakaan</t>
  </si>
  <si>
    <t>UNIT-UPTI</t>
  </si>
  <si>
    <t>UPA_TI</t>
  </si>
  <si>
    <t>UPA Teknologi Informasi</t>
  </si>
  <si>
    <t>Layanan TIK dan sistem informasi</t>
  </si>
  <si>
    <t>UNIT-UPTM</t>
  </si>
  <si>
    <t>UPA_TPPA</t>
  </si>
  <si>
    <t>UPA Teknologi Permesinan dan Peralatan Penunjang Akademik</t>
  </si>
  <si>
    <t>Pemeliharaan dan pelayanan mesin/peralatan</t>
  </si>
  <si>
    <t>UNIT-UPB</t>
  </si>
  <si>
    <t>UPA_BAHASA</t>
  </si>
  <si>
    <t>UPA Bahasa</t>
  </si>
  <si>
    <t>Layanan pembelajaran dan pengujian bahasa</t>
  </si>
  <si>
    <t>UNIT-UPK</t>
  </si>
  <si>
    <t>UPA_KARIR</t>
  </si>
  <si>
    <t>UPA Pengembangan Karier dan Kewirausahaan</t>
  </si>
  <si>
    <t>Karier, hubungan industri, dan kewirausahaan</t>
  </si>
  <si>
    <t>UNIT-UPUK</t>
  </si>
  <si>
    <t>UPA_UKOM</t>
  </si>
  <si>
    <t>UPA Layanan Uji Kompetensi</t>
  </si>
  <si>
    <t>Pelatihan dan uji kompetensi</t>
  </si>
  <si>
    <t>UNIT-JTP</t>
  </si>
  <si>
    <t>JUR_TPERKAPALAN</t>
  </si>
  <si>
    <t>Jurusan Teknik Perkapalan</t>
  </si>
  <si>
    <t>DEPARTMENT</t>
  </si>
  <si>
    <t>Jurusan</t>
  </si>
  <si>
    <t>UNIT-JTM</t>
  </si>
  <si>
    <t>JUR_TMESIN</t>
  </si>
  <si>
    <t>Jurusan Teknik Mesin</t>
  </si>
  <si>
    <t>UNIT-JTE</t>
  </si>
  <si>
    <t>JUR_TELEKTRO</t>
  </si>
  <si>
    <t>Jurusan Teknik Elektro</t>
  </si>
  <si>
    <t>UNIT-JTS</t>
  </si>
  <si>
    <t>JUR_TSIPIL</t>
  </si>
  <si>
    <t>Jurusan Teknik Sipil</t>
  </si>
  <si>
    <t>UNIT-JAN</t>
  </si>
  <si>
    <t>JUR_ADMNIAGA</t>
  </si>
  <si>
    <t>Jurusan Administrasi Niaga</t>
  </si>
  <si>
    <t>UNIT-JTI</t>
  </si>
  <si>
    <t>JUR_TINFORMATIKA</t>
  </si>
  <si>
    <t>Jurusan Teknik Informatika</t>
  </si>
  <si>
    <t>UNIT-JKM</t>
  </si>
  <si>
    <t>JUR_KEMARITIMAN</t>
  </si>
  <si>
    <t>Jurusan Kemaritiman</t>
  </si>
  <si>
    <t>UNIT-JB</t>
  </si>
  <si>
    <t>JUR_BAHASA</t>
  </si>
  <si>
    <t>Jurusan Bahasa</t>
  </si>
  <si>
    <t>function_id</t>
  </si>
  <si>
    <t>function_code</t>
  </si>
  <si>
    <t>function_statement</t>
  </si>
  <si>
    <t>source_standard</t>
  </si>
  <si>
    <t>source_reference</t>
  </si>
  <si>
    <t>F-DIR-01</t>
  </si>
  <si>
    <t>Menetapkan kebijakan, sasaran, sumber daya, dan pengendalian tata kelola institusi</t>
  </si>
  <si>
    <t>STATUTA_POLBENG_2025</t>
  </si>
  <si>
    <t>Pimpinan dan tata kelola</t>
  </si>
  <si>
    <t>HIGH</t>
  </si>
  <si>
    <t>F-WD1-01</t>
  </si>
  <si>
    <t>COORD_ACADEMIC</t>
  </si>
  <si>
    <t>Mengoordinasikan pelaksanaan tugas bidang akademik dan penjaminan mutu pendidikan</t>
  </si>
  <si>
    <t>Wakil Direktur bidang akademik</t>
  </si>
  <si>
    <t>F-WD2-01</t>
  </si>
  <si>
    <t>COORD_GENERAL_FINANCE</t>
  </si>
  <si>
    <t>Mengoordinasikan administrasi umum, kepegawaian, keuangan, aset, dan fasilitas</t>
  </si>
  <si>
    <t>Wakil Direktur bidang umum dan keuangan</t>
  </si>
  <si>
    <t>F-WD3-01</t>
  </si>
  <si>
    <t>COORD_STUDENT_COOP</t>
  </si>
  <si>
    <t>Mengoordinasikan kemahasiswaan, alumni, kerja sama, dan hubungan eksternal</t>
  </si>
  <si>
    <t>Wakil Direktur bidang kemahasiswaan dan kerja sama</t>
  </si>
  <si>
    <t>MEDIUM</t>
  </si>
  <si>
    <t>F-BAKPK-01</t>
  </si>
  <si>
    <t>ACADEMIC_ADMIN</t>
  </si>
  <si>
    <t>Melaksanakan administrasi akademik, data, statistik, dan layanan mahasiswa</t>
  </si>
  <si>
    <t>Bagian AKPK</t>
  </si>
  <si>
    <t>F-BAKPK-02</t>
  </si>
  <si>
    <t>PLANNING</t>
  </si>
  <si>
    <t>Melaksanakan penyusunan rencana, program, anggaran, dan evaluasi capaian</t>
  </si>
  <si>
    <t>F-BAKPK-03</t>
  </si>
  <si>
    <t>COOPERATION</t>
  </si>
  <si>
    <t>Melaksanakan administrasi dan pemantauan kerja sama</t>
  </si>
  <si>
    <t>F-BAKPK-04</t>
  </si>
  <si>
    <t>STUDENT_SERVICE</t>
  </si>
  <si>
    <t>Melaksanakan administrasi kemahasiswaan, alumni, dan layanan informasi terkait</t>
  </si>
  <si>
    <t>F-BUK-01</t>
  </si>
  <si>
    <t>FINANCE</t>
  </si>
  <si>
    <t>Melaksanakan perencanaan dan pengelolaan keuangan serta pelaporan</t>
  </si>
  <si>
    <t>F-BUK-02</t>
  </si>
  <si>
    <t>HR</t>
  </si>
  <si>
    <t>Melaksanakan administrasi kepegawaian dan pengembangan SDM</t>
  </si>
  <si>
    <t>F-BUK-03</t>
  </si>
  <si>
    <t>GENERAL_ADMIN</t>
  </si>
  <si>
    <t>Melaksanakan persuratan, kearsipan, hukum, organisasi, dan tata laksana</t>
  </si>
  <si>
    <t>F-BUK-04</t>
  </si>
  <si>
    <t>ASSET_FACILITY</t>
  </si>
  <si>
    <t>Melaksanakan pengelolaan BMN, rumah tangga, keamanan, dan fasilitas</t>
  </si>
  <si>
    <t>F-P3M-01</t>
  </si>
  <si>
    <t>RESEARCH</t>
  </si>
  <si>
    <t>Mengoordinasikan perencanaan, seleksi, pemantauan, dan pelaporan penelitian</t>
  </si>
  <si>
    <t>Pusat P3M</t>
  </si>
  <si>
    <t>F-P3M-02</t>
  </si>
  <si>
    <t>COMMUNITY_SERVICE</t>
  </si>
  <si>
    <t>Mengoordinasikan pengabdian kepada masyarakat dan luaran kegiatan</t>
  </si>
  <si>
    <t>F-P4MP-01</t>
  </si>
  <si>
    <t>QUALITY_ASSURANCE</t>
  </si>
  <si>
    <t>Mengoordinasikan pelaksanaan, pemantauan, evaluasi, dan perbaikan sistem penjaminan mutu</t>
  </si>
  <si>
    <t>Pusat P4MP</t>
  </si>
  <si>
    <t>F-P4MP-02</t>
  </si>
  <si>
    <t>LEARNING_DEVELOPMENT</t>
  </si>
  <si>
    <t>Mengoordinasikan pengembangan pembelajaran dan dukungan mutu pendidikan</t>
  </si>
  <si>
    <t>F-SPI-01</t>
  </si>
  <si>
    <t>INTERNAL_OVERSIGHT</t>
  </si>
  <si>
    <t>Menyusun program dan melaksanakan pengawasan internal bidang nonakademik</t>
  </si>
  <si>
    <t>F-SPI-02</t>
  </si>
  <si>
    <t>FOLLOW_UP_MONITORING</t>
  </si>
  <si>
    <t>Menyusun laporan, memberi saran perbaikan, dan memantau tindak lanjut pengawasan</t>
  </si>
  <si>
    <t>F-UPAP-01</t>
  </si>
  <si>
    <t>LIBRARY_SERVICE</t>
  </si>
  <si>
    <t>Merencanakan, menyediakan, mengolah, melayani, dan memelihara koleksi perpustakaan</t>
  </si>
  <si>
    <t>F-UPTI-01</t>
  </si>
  <si>
    <t>IT_SERVICE</t>
  </si>
  <si>
    <t>Mengembangkan, mengelola, dan melayani TIK, sistem informasi, dan jaringan</t>
  </si>
  <si>
    <t>F-UPTI-02</t>
  </si>
  <si>
    <t>IT_MAINTENANCE</t>
  </si>
  <si>
    <t>Melaksanakan pemeliharaan infrastruktur, aplikasi, dan dukungan pengguna</t>
  </si>
  <si>
    <t>F-UPTM-01</t>
  </si>
  <si>
    <t>EQUIPMENT_MAINTENANCE</t>
  </si>
  <si>
    <t>Melaksanakan inventarisasi, pemeliharaan, perbaikan, dan pelayanan peralatan</t>
  </si>
  <si>
    <t>UPA TPPA</t>
  </si>
  <si>
    <t>F-UPB-01</t>
  </si>
  <si>
    <t>LANGUAGE_SERVICE</t>
  </si>
  <si>
    <t>Melaksanakan pengembangan pembelajaran, peningkatan kemampuan, dan pengujian bahasa</t>
  </si>
  <si>
    <t>F-UPK-01</t>
  </si>
  <si>
    <t>CAREER_SERVICE</t>
  </si>
  <si>
    <t>Melaksanakan pengembangan karier, hubungan industri, dan fasilitasi peluang kerja</t>
  </si>
  <si>
    <t>UPA Karier</t>
  </si>
  <si>
    <t>F-UPK-02</t>
  </si>
  <si>
    <t>ENTREPRENEURSHIP</t>
  </si>
  <si>
    <t>Melaksanakan program pengembangan kewirausahaan mahasiswa dan alumni</t>
  </si>
  <si>
    <t>F-UPUK-01</t>
  </si>
  <si>
    <t>COMPETENCY_TEST</t>
  </si>
  <si>
    <t>Melaksanakan pelatihan dan pelayanan uji kompetensi</t>
  </si>
  <si>
    <t>UPA Uji Kompetensi</t>
  </si>
  <si>
    <t>F-TPERKAPALAN-01</t>
  </si>
  <si>
    <t>DEPARTMENT_ADMIN</t>
  </si>
  <si>
    <t>Mengelola administrasi, sumber daya, data, dan layanan pendukung jurusan</t>
  </si>
  <si>
    <t>Fungsi jurusan</t>
  </si>
  <si>
    <t>F-TPERKAPALAN-02</t>
  </si>
  <si>
    <t>LAB_FACILITY</t>
  </si>
  <si>
    <t>Mengelola penggunaan, keselamatan, pemeliharaan, dan inventaris fasilitas jurusan</t>
  </si>
  <si>
    <t>F-TMESIN-01</t>
  </si>
  <si>
    <t>F-TMESIN-02</t>
  </si>
  <si>
    <t>F-TELEKTRO-01</t>
  </si>
  <si>
    <t>F-TELEKTRO-02</t>
  </si>
  <si>
    <t>F-TSIPIL-01</t>
  </si>
  <si>
    <t>F-TSIPIL-02</t>
  </si>
  <si>
    <t>F-ADMNIAGA-01</t>
  </si>
  <si>
    <t>F-ADMNIAGA-02</t>
  </si>
  <si>
    <t>F-TINFORMATIKA-01</t>
  </si>
  <si>
    <t>F-TINFORMATIKA-02</t>
  </si>
  <si>
    <t>F-KEMARITIMAN-01</t>
  </si>
  <si>
    <t>F-KEMARITIMAN-02</t>
  </si>
  <si>
    <t>F-BAHASA-01</t>
  </si>
  <si>
    <t>F-BAHASA-02</t>
  </si>
  <si>
    <t>standard_id</t>
  </si>
  <si>
    <t>standard_code</t>
  </si>
  <si>
    <t>standard_name</t>
  </si>
  <si>
    <t>standard_axis</t>
  </si>
  <si>
    <t>source_url</t>
  </si>
  <si>
    <t>STD-PMPT-39</t>
  </si>
  <si>
    <t>Penjaminan Mutu Pendidikan Tinggi</t>
  </si>
  <si>
    <t>AUDIT_CRITERIA</t>
  </si>
  <si>
    <t>CURRENT</t>
  </si>
  <si>
    <t>2025-09-02</t>
  </si>
  <si>
    <t>https://peraturan.go.id/id/permendiktisaintek-no-39-tahun-2025</t>
  </si>
  <si>
    <t>Dasar regulasi penjaminan mutu; menggantikan Permendikbudristek 53/2023</t>
  </si>
  <si>
    <t>STD-ISO-9001</t>
  </si>
  <si>
    <t>Quality Management Systems — Requirements</t>
  </si>
  <si>
    <t>PROCESS_CONTROL</t>
  </si>
  <si>
    <t>2015-09-01</t>
  </si>
  <si>
    <t>https://www.iso.org/standard/62085.html</t>
  </si>
  <si>
    <t>Digunakan untuk pendekatan proses, risiko, pengendalian, evaluasi, dan perbaikan proses bisnis</t>
  </si>
  <si>
    <t>STD-OTK</t>
  </si>
  <si>
    <t>Organisasi dan Tata Kerja Politeknik Negeri Bengkalis</t>
  </si>
  <si>
    <t>UNIT_MANDATE</t>
  </si>
  <si>
    <t>2022-08-04</t>
  </si>
  <si>
    <t>https://peraturan.go.id/id/permendikbudristek-no-43-tahun-2022</t>
  </si>
  <si>
    <t>Dasar nama unit dan tupoksi</t>
  </si>
  <si>
    <t>STD-STATUTA</t>
  </si>
  <si>
    <t>Statuta Politeknik Negeri Bengkalis</t>
  </si>
  <si>
    <t>GOVERNANCE</t>
  </si>
  <si>
    <t>2025-12-31</t>
  </si>
  <si>
    <t>https://peraturan.bpk.go.id/Details/345239/permendikti-saintek-no-57-tahun-2025</t>
  </si>
  <si>
    <t>Dasar tata kelola Polbeng, SPI, dan penjaminan mutu internal</t>
  </si>
  <si>
    <t>STD-INTERNAL</t>
  </si>
  <si>
    <t>SPT_POLBENG_2026_D1</t>
  </si>
  <si>
    <t>Rancangan Standar Internal Nonakademik Polbeng</t>
  </si>
  <si>
    <t>AUDIT_CRITERIA_DETAIL</t>
  </si>
  <si>
    <t>Terdiri atas 25 rancangan standar pada 28_INTERNAL_STANDARDS; digunakan untuk desain instrumen sampai dokumen resmi Polbeng ditetapkan.</t>
  </si>
  <si>
    <t>clause_id</t>
  </si>
  <si>
    <t>clause_no</t>
  </si>
  <si>
    <t>clause_theme</t>
  </si>
  <si>
    <t>paraphrased_requirement</t>
  </si>
  <si>
    <t>audit_focus</t>
  </si>
  <si>
    <t>amendment_note</t>
  </si>
  <si>
    <t>ISO-4.1</t>
  </si>
  <si>
    <t>Konteks organisasi</t>
  </si>
  <si>
    <t>Menentukan isu internal dan eksternal yang memengaruhi kemampuan sistem mutu.</t>
  </si>
  <si>
    <t>Analisis konteks, perubahan regulasi, risiko strategis.</t>
  </si>
  <si>
    <t>Pertimbangkan relevansi perubahan iklim.</t>
  </si>
  <si>
    <t>ISO-4.2</t>
  </si>
  <si>
    <t>Pihak berkepentingan</t>
  </si>
  <si>
    <t>Menentukan pihak berkepentingan dan kebutuhan yang relevan terhadap sistem mutu.</t>
  </si>
  <si>
    <t>Pemetaan pengguna, regulator, mitra, pegawai, dan kebutuhan layanan.</t>
  </si>
  <si>
    <t>Pihak berkepentingan dapat memiliki persyaratan terkait perubahan iklim.</t>
  </si>
  <si>
    <t>ISO-4.3</t>
  </si>
  <si>
    <t>Ruang lingkup sistem</t>
  </si>
  <si>
    <t>Menetapkan batas, penerapan, unit, proses, dan pengecualian sistem mutu.</t>
  </si>
  <si>
    <t>Ruang lingkup audit dan layanan.</t>
  </si>
  <si>
    <t>ISO-4.4</t>
  </si>
  <si>
    <t>Proses sistem mutu</t>
  </si>
  <si>
    <t>Menetapkan proses, interaksi, kriteria, sumber daya, tanggung jawab, risiko, dan evaluasi.</t>
  </si>
  <si>
    <t>Peta proses, SOP, indikator, PIC.</t>
  </si>
  <si>
    <t>ISO-5.1.1</t>
  </si>
  <si>
    <t>5.1.1</t>
  </si>
  <si>
    <t>Kepemimpinan</t>
  </si>
  <si>
    <t>Pimpinan menunjukkan akuntabilitas, integrasi mutu, penyediaan sumber daya, dan dukungan perbaikan.</t>
  </si>
  <si>
    <t>Bukti keputusan, alokasi sumber daya, evaluasi.</t>
  </si>
  <si>
    <t>ISO-5.1.2</t>
  </si>
  <si>
    <t>5.1.2</t>
  </si>
  <si>
    <t>Fokus pelanggan</t>
  </si>
  <si>
    <t>Pimpinan memastikan persyaratan pengguna dipahami dan kepuasan ditingkatkan.</t>
  </si>
  <si>
    <t>Standar layanan dan keluhan.</t>
  </si>
  <si>
    <t>ISO-5.2</t>
  </si>
  <si>
    <t>Kebijakan mutu</t>
  </si>
  <si>
    <t>Kebijakan sesuai konteks, memberi kerangka sasaran, dikomunikasikan, dan dipelihara.</t>
  </si>
  <si>
    <t>Kebijakan, sosialisasi, pemahaman.</t>
  </si>
  <si>
    <t>ISO-5.3</t>
  </si>
  <si>
    <t>Peran dan kewenangan</t>
  </si>
  <si>
    <t>Tanggung jawab dan kewenangan ditetapkan, dikomunikasikan, dan dipahami.</t>
  </si>
  <si>
    <t>Struktur, uraian jabatan, delegasi.</t>
  </si>
  <si>
    <t>ISO-6.1</t>
  </si>
  <si>
    <t>Risiko dan peluang</t>
  </si>
  <si>
    <t>Menentukan risiko/peluang, merencanakan tindakan, mengintegrasikan, dan mengevaluasi efektivitasnya.</t>
  </si>
  <si>
    <t>Register risiko dan mitigasi.</t>
  </si>
  <si>
    <t>ISO-6.2</t>
  </si>
  <si>
    <t>Sasaran mutu</t>
  </si>
  <si>
    <t>Menetapkan sasaran terukur, PIC, sumber daya, waktu, metode evaluasi, dan pembaruan.</t>
  </si>
  <si>
    <t>IKU/indikator unit.</t>
  </si>
  <si>
    <t>ISO-6.3</t>
  </si>
  <si>
    <t>Perencanaan perubahan</t>
  </si>
  <si>
    <t>Perubahan sistem direncanakan dengan mempertimbangkan tujuan, dampak, integritas, sumber daya, dan kewenangan.</t>
  </si>
  <si>
    <t>Perubahan struktur, aplikasi, SOP.</t>
  </si>
  <si>
    <t>ISO-7.1.1</t>
  </si>
  <si>
    <t>7.1.1</t>
  </si>
  <si>
    <t>Sumber daya umum</t>
  </si>
  <si>
    <t>Menentukan dan menyediakan sumber daya untuk sistem dan proses.</t>
  </si>
  <si>
    <t>Anggaran, personel, sarana.</t>
  </si>
  <si>
    <t>ISO-7.1.2</t>
  </si>
  <si>
    <t>7.1.2</t>
  </si>
  <si>
    <t>Sumber daya manusia</t>
  </si>
  <si>
    <t>Menyediakan orang yang diperlukan untuk operasi dan pengendalian proses.</t>
  </si>
  <si>
    <t>Analisis beban dan penempatan.</t>
  </si>
  <si>
    <t>ISO-7.1.3</t>
  </si>
  <si>
    <t>7.1.3</t>
  </si>
  <si>
    <t>Infrastruktur</t>
  </si>
  <si>
    <t>Menyediakan dan memelihara gedung, alat, perangkat lunak, transportasi, dan TIK.</t>
  </si>
  <si>
    <t>Inventaris, pemeliharaan, ketersediaan.</t>
  </si>
  <si>
    <t>ISO-7.1.4</t>
  </si>
  <si>
    <t>7.1.4</t>
  </si>
  <si>
    <t>Lingkungan operasi</t>
  </si>
  <si>
    <t>Menyediakan lingkungan fisik, sosial, dan psikologis yang sesuai untuk proses.</t>
  </si>
  <si>
    <t>K3, keamanan, kenyamanan.</t>
  </si>
  <si>
    <t>ISO-7.1.5</t>
  </si>
  <si>
    <t>7.1.5</t>
  </si>
  <si>
    <t>Sumber daya pemantauan</t>
  </si>
  <si>
    <t>Memastikan alat ukur dan pemantauan sesuai, dipelihara, dan dapat ditelusuri.</t>
  </si>
  <si>
    <t>Kalibrasi dan validasi alat.</t>
  </si>
  <si>
    <t>ISO-7.1.6</t>
  </si>
  <si>
    <t>7.1.6</t>
  </si>
  <si>
    <t>Pengetahuan organisasi</t>
  </si>
  <si>
    <t>Menentukan, memelihara, menyediakan, dan memperbarui pengetahuan yang diperlukan.</t>
  </si>
  <si>
    <t>SOP, lesson learned, serah terima.</t>
  </si>
  <si>
    <t>ISO-7.2</t>
  </si>
  <si>
    <t>Kompetensi</t>
  </si>
  <si>
    <t>Menentukan kompetensi, memastikan kemampuan, mengambil tindakan, dan menyimpan bukti.</t>
  </si>
  <si>
    <t>Kualifikasi, pelatihan, evaluasi.</t>
  </si>
  <si>
    <t>ISO-7.3</t>
  </si>
  <si>
    <t>Kesadaran</t>
  </si>
  <si>
    <t>Personel memahami kebijakan, sasaran, kontribusi, dan akibat ketidaksesuaian.</t>
  </si>
  <si>
    <t>Sosialisasi dan pemahaman.</t>
  </si>
  <si>
    <t>ISO-7.4</t>
  </si>
  <si>
    <t>Komunikasi</t>
  </si>
  <si>
    <t>Menentukan apa, kapan, dengan siapa, bagaimana, dan siapa yang berkomunikasi.</t>
  </si>
  <si>
    <t>Matriks komunikasi.</t>
  </si>
  <si>
    <t>ISO-7.5.1</t>
  </si>
  <si>
    <t>7.5.1</t>
  </si>
  <si>
    <t>Informasi terdokumentasi</t>
  </si>
  <si>
    <t>Menentukan dokumen dan rekaman yang diperlukan untuk efektivitas sistem.</t>
  </si>
  <si>
    <t>Daftar dokumen dan rekaman.</t>
  </si>
  <si>
    <t>ISO-7.5.2</t>
  </si>
  <si>
    <t>7.5.2</t>
  </si>
  <si>
    <t>Pembuatan dokumen</t>
  </si>
  <si>
    <t>Memastikan identitas, format, media, tinjauan, dan persetujuan dokumen.</t>
  </si>
  <si>
    <t>Kode, versi, pengesahan.</t>
  </si>
  <si>
    <t>ISO-7.5.3</t>
  </si>
  <si>
    <t>7.5.3</t>
  </si>
  <si>
    <t>Pengendalian dokumen</t>
  </si>
  <si>
    <t>Mengendalikan distribusi, akses, penyimpanan, perubahan, retensi, dan pemusnahan.</t>
  </si>
  <si>
    <t>Versi, akses, arsip, backup.</t>
  </si>
  <si>
    <t>ISO-8.1</t>
  </si>
  <si>
    <t>Perencanaan operasi</t>
  </si>
  <si>
    <t>Merencanakan dan mengendalikan proses layanan, kriteria, sumber daya, bukti, serta perubahan.</t>
  </si>
  <si>
    <t>Rencana layanan dan kontrol operasional.</t>
  </si>
  <si>
    <t>ISO-8.2</t>
  </si>
  <si>
    <t>Persyaratan layanan</t>
  </si>
  <si>
    <t>Mengelola komunikasi, kebutuhan pengguna, tinjauan persyaratan, dan perubahan.</t>
  </si>
  <si>
    <t>Standar layanan, persyaratan, keluhan.</t>
  </si>
  <si>
    <t>ISO-8.3</t>
  </si>
  <si>
    <t>Desain dan pengembangan</t>
  </si>
  <si>
    <t>Mengendalikan perencanaan, input, kontrol, output, dan perubahan desain layanan/sistem.</t>
  </si>
  <si>
    <t>Pengembangan aplikasi, layanan baru.</t>
  </si>
  <si>
    <t>ISO-8.4</t>
  </si>
  <si>
    <t>Penyedia eksternal</t>
  </si>
  <si>
    <t>Mengendalikan pemilihan, evaluasi, persyaratan, dan verifikasi penyedia.</t>
  </si>
  <si>
    <t>Pengadaan dan vendor.</t>
  </si>
  <si>
    <t>ISO-8.5.1</t>
  </si>
  <si>
    <t>8.5.1</t>
  </si>
  <si>
    <t>Penyediaan layanan</t>
  </si>
  <si>
    <t>Melaksanakan layanan dalam kondisi terkendali dengan dokumen, kompetensi, infrastruktur, pemantauan, dan pencegahan kesalahan.</t>
  </si>
  <si>
    <t>Pelaksanaan SOP dan verifikasi.</t>
  </si>
  <si>
    <t>ISO-8.5.2</t>
  </si>
  <si>
    <t>8.5.2</t>
  </si>
  <si>
    <t>Identifikasi dan ketertelusuran</t>
  </si>
  <si>
    <t>Mengidentifikasi keluaran dan statusnya serta menjaga ketertelusuran bila diperlukan.</t>
  </si>
  <si>
    <t>Nomor dokumen, tiket, transaksi.</t>
  </si>
  <si>
    <t>ISO-8.5.3</t>
  </si>
  <si>
    <t>8.5.3</t>
  </si>
  <si>
    <t>Milik pengguna/penyedia</t>
  </si>
  <si>
    <t>Menjaga, memverifikasi, melindungi, dan melaporkan kerusakan milik pihak lain.</t>
  </si>
  <si>
    <t>Data pribadi, dokumen, barang pinjaman.</t>
  </si>
  <si>
    <t>ISO-8.5.4</t>
  </si>
  <si>
    <t>8.5.4</t>
  </si>
  <si>
    <t>Preservasi</t>
  </si>
  <si>
    <t>Menjaga keluaran selama proses dan penyerahan.</t>
  </si>
  <si>
    <t>Penyimpanan dokumen, koleksi, barang.</t>
  </si>
  <si>
    <t>ISO-8.5.5</t>
  </si>
  <si>
    <t>8.5.5</t>
  </si>
  <si>
    <t>Kegiatan pascalayanan</t>
  </si>
  <si>
    <t>Menentukan kegiatan setelah layanan berdasarkan risiko, regulasi, dan umpan balik.</t>
  </si>
  <si>
    <t>Dukungan, garansi, pemeliharaan.</t>
  </si>
  <si>
    <t>ISO-8.5.6</t>
  </si>
  <si>
    <t>8.5.6</t>
  </si>
  <si>
    <t>Pengendalian perubahan operasi</t>
  </si>
  <si>
    <t>Meninjau dan mengendalikan perubahan layanan serta menyimpan bukti.</t>
  </si>
  <si>
    <t>Change log dan persetujuan.</t>
  </si>
  <si>
    <t>ISO-8.6</t>
  </si>
  <si>
    <t>Pelepasan keluaran</t>
  </si>
  <si>
    <t>Memverifikasi pemenuhan persyaratan sebelum layanan/keluaran diserahkan.</t>
  </si>
  <si>
    <t>Pengesahan dokumen dan hasil.</t>
  </si>
  <si>
    <t>ISO-8.7</t>
  </si>
  <si>
    <t>Keluaran tidak sesuai</t>
  </si>
  <si>
    <t>Mengidentifikasi, mengendalikan, memperbaiki, dan merekam ketidaksesuaian.</t>
  </si>
  <si>
    <t>Kesalahan layanan dan koreksi.</t>
  </si>
  <si>
    <t>ISO-9.1.1</t>
  </si>
  <si>
    <t>9.1.1</t>
  </si>
  <si>
    <t>Pemantauan dan analisis</t>
  </si>
  <si>
    <t>Menentukan apa yang diukur, metode, waktu, analisis, dan evaluasi.</t>
  </si>
  <si>
    <t>Indikator dan kualitas data.</t>
  </si>
  <si>
    <t>ISO-9.1.2</t>
  </si>
  <si>
    <t>9.1.2</t>
  </si>
  <si>
    <t>Kepuasan pengguna</t>
  </si>
  <si>
    <t>Memantau persepsi pengguna terhadap pemenuhan kebutuhan dan harapan.</t>
  </si>
  <si>
    <t>Survei dan keluhan.</t>
  </si>
  <si>
    <t>ISO-9.1.3</t>
  </si>
  <si>
    <t>9.1.3</t>
  </si>
  <si>
    <t>Analisis dan evaluasi</t>
  </si>
  <si>
    <t>Menganalisis kesesuaian, kepuasan, efektivitas, kinerja penyedia, risiko, dan perbaikan.</t>
  </si>
  <si>
    <t>Dashboard dan tren.</t>
  </si>
  <si>
    <t>ISO-9.2</t>
  </si>
  <si>
    <t>Audit internal</t>
  </si>
  <si>
    <t>Merencanakan, melaksanakan, melaporkan, dan menindaklanjuti audit dengan objektivitas.</t>
  </si>
  <si>
    <t>Program audit, kompetensi, tindak lanjut.</t>
  </si>
  <si>
    <t>ISO-9.3</t>
  </si>
  <si>
    <t>Tinjauan manajemen</t>
  </si>
  <si>
    <t>Pimpinan meninjau perubahan, kinerja, audit, sumber daya, risiko, dan peluang perbaikan.</t>
  </si>
  <si>
    <t>Agenda, keputusan, tindak lanjut.</t>
  </si>
  <si>
    <t>ISO-10.1</t>
  </si>
  <si>
    <t>Perbaikan umum</t>
  </si>
  <si>
    <t>Menentukan dan memilih peluang perbaikan produk, layanan, dan sistem.</t>
  </si>
  <si>
    <t>Program perbaikan.</t>
  </si>
  <si>
    <t>ISO-10.2</t>
  </si>
  <si>
    <t>Ketidaksesuaian dan tindakan korektif</t>
  </si>
  <si>
    <t>Mengendalikan masalah, menganalisis penyebab, mengambil tindakan, menilai efektivitas, dan memperbarui risiko/dokumen.</t>
  </si>
  <si>
    <t>Akar masalah, CAPA, verifikasi.</t>
  </si>
  <si>
    <t>ISO-10.3</t>
  </si>
  <si>
    <t>Perbaikan berkelanjutan</t>
  </si>
  <si>
    <t>Terus meningkatkan kesesuaian, kecukupan, dan efektivitas sistem.</t>
  </si>
  <si>
    <t>Tren dan inovasi proses.</t>
  </si>
  <si>
    <t>requirement_id</t>
  </si>
  <si>
    <t>requirement_axis</t>
  </si>
  <si>
    <t>requirement_statement</t>
  </si>
  <si>
    <t>source_standard_id</t>
  </si>
  <si>
    <t>source_ref</t>
  </si>
  <si>
    <t>applicable_scope</t>
  </si>
  <si>
    <t>evidence_category</t>
  </si>
  <si>
    <t>mapping_status</t>
  </si>
  <si>
    <t>REQ-REG-001</t>
  </si>
  <si>
    <t>REG-SN-DIKTI</t>
  </si>
  <si>
    <t>REGULATORY_STANDARD</t>
  </si>
  <si>
    <t>Penyelenggaraan mutu perguruan tinggi harus selaras dengan Standar Nasional Pendidikan Tinggi yang berlaku.</t>
  </si>
  <si>
    <t>Pasal 3-63</t>
  </si>
  <si>
    <t>ALL</t>
  </si>
  <si>
    <t>ARTICLE_MAPPED</t>
  </si>
  <si>
    <t>Rujukan payung SN Dikti; instrumen nonakademik menggunakan standar internal yang relevan.</t>
  </si>
  <si>
    <t>REQ-REG-002</t>
  </si>
  <si>
    <t>REG-SPT-PT</t>
  </si>
  <si>
    <t>Polbeng menetapkan dan menjalankan standar pendidikan tinggi serta standar internal yang relevan dengan penyelenggaraan dan layanan institusi.</t>
  </si>
  <si>
    <t>Pasal 64</t>
  </si>
  <si>
    <t>Standar perguruan tinggi merupakan penjabaran operasional dan pelampauan SN Dikti yang ditetapkan sesuai Pasal 64.</t>
  </si>
  <si>
    <t>REQ-REG-003</t>
  </si>
  <si>
    <t>REG-SPM-DIKTI</t>
  </si>
  <si>
    <t>Penjaminan mutu dilaksanakan sebagai sistem yang terencana, terdokumentasi, berbasis data, dievaluasi, dan ditingkatkan.</t>
  </si>
  <si>
    <t>Pasal 65</t>
  </si>
  <si>
    <t>QUALITY_SYSTEM</t>
  </si>
  <si>
    <t>SPM Dikti mengevaluasi pemenuhan dan relevansi SN Dikti serta standar perguruan tinggi.</t>
  </si>
  <si>
    <t>REQ-REG-004</t>
  </si>
  <si>
    <t>REG-SPMI</t>
  </si>
  <si>
    <t>Perguruan tinggi mengelola penetapan, pelaksanaan, evaluasi, pengendalian, dan peningkatan standar melalui SPMI.</t>
  </si>
  <si>
    <t>Pasal 66-69</t>
  </si>
  <si>
    <t>PPEPP</t>
  </si>
  <si>
    <t>SPMI mencakup data, tata kelola, PPEPP, AMI, dan fasilitasi implementasi.</t>
  </si>
  <si>
    <t>REQ-REG-005</t>
  </si>
  <si>
    <t>REG-SPME</t>
  </si>
  <si>
    <t>Data dan hasil SPMI mendukung penjaminan mutu eksternal serta akreditasi yang relevan.</t>
  </si>
  <si>
    <t>Pasal 70-110</t>
  </si>
  <si>
    <t>P4MP|PIMPINAN</t>
  </si>
  <si>
    <t>ACCREDITATION</t>
  </si>
  <si>
    <t>SPME dilaksanakan melalui akreditasi; dipakai pada proses yang berhubungan dengan akreditasi dan pelaporan mutu.</t>
  </si>
  <si>
    <t>REQ-REG-006</t>
  </si>
  <si>
    <t>REG-PDDIKTI</t>
  </si>
  <si>
    <t>Data pendidikan tinggi dan data pendukung mutu dikelola secara benar, lengkap, konsisten, mutakhir, dan dapat ditelusuri.</t>
  </si>
  <si>
    <t>Pasal 111-113</t>
  </si>
  <si>
    <t>DATA|TI|AKADEMIK|P4MP</t>
  </si>
  <si>
    <t>DATA</t>
  </si>
  <si>
    <t>PD Dikti merupakan sumber data dan informasi utama bagi implementasi SPM Dikti.</t>
  </si>
  <si>
    <t>REQ-INT-001</t>
  </si>
  <si>
    <t>INT-NONAKADEMIK</t>
  </si>
  <si>
    <t>INTERNAL_STANDARD</t>
  </si>
  <si>
    <t>Setiap unit diaudit terhadap standar nonakademik Polbeng yang ditetapkan sesuai tupoksi, indikator, target, dan risiko proses.</t>
  </si>
  <si>
    <t>Pasal 64; 28_INTERNAL_STANDARDS versi 2026-D1</t>
  </si>
  <si>
    <t>DRAFT_MAPPED</t>
  </si>
  <si>
    <t>Rancangan standar internal aplikasi telah dipetakan; formalisasi tetap memerlukan penetapan pimpinan setelah pertimbangan Senat.</t>
  </si>
  <si>
    <t>REQ-ISO-001</t>
  </si>
  <si>
    <t>ISO-CONTEXT</t>
  </si>
  <si>
    <t>ISO_PROCESS</t>
  </si>
  <si>
    <t>Unit mengidentifikasi isu internal, eksternal, regulasi, dan perubahan yang relevan terhadap pelaksanaan fungsi.</t>
  </si>
  <si>
    <t>4.1</t>
  </si>
  <si>
    <t>PLAN</t>
  </si>
  <si>
    <t>MAPPED</t>
  </si>
  <si>
    <t>REQ-ISO-002</t>
  </si>
  <si>
    <t>ISO-STAKEHOLDER</t>
  </si>
  <si>
    <t>Unit mengidentifikasi pihak berkepentingan dan kebutuhan yang relevan terhadap layanan.</t>
  </si>
  <si>
    <t>4.2</t>
  </si>
  <si>
    <t>CONTEXT</t>
  </si>
  <si>
    <t>REQ-ISO-003</t>
  </si>
  <si>
    <t>ISO-PROCESS</t>
  </si>
  <si>
    <t>Setiap fungsi unit diterjemahkan menjadi proses, input, output, PIC, kriteria, indikator, risiko, dan interaksi.</t>
  </si>
  <si>
    <t>4.4</t>
  </si>
  <si>
    <t>PROCESS</t>
  </si>
  <si>
    <t>REQ-ISO-004</t>
  </si>
  <si>
    <t>ISO-LEADERSHIP</t>
  </si>
  <si>
    <t>Pimpinan memastikan tanggung jawab, kewenangan, fokus pengguna, dan dukungan terhadap sistem mutu.</t>
  </si>
  <si>
    <t>5.1|5.3</t>
  </si>
  <si>
    <t>LEADERSHIP|ALL</t>
  </si>
  <si>
    <t>REQ-ISO-005</t>
  </si>
  <si>
    <t>ISO-RISK</t>
  </si>
  <si>
    <t>Risiko dan peluang proses dinilai, ditangani, dan dievaluasi efektivitasnya.</t>
  </si>
  <si>
    <t>6.1</t>
  </si>
  <si>
    <t>RISK</t>
  </si>
  <si>
    <t>REQ-ISO-006</t>
  </si>
  <si>
    <t>ISO-OBJECTIVE</t>
  </si>
  <si>
    <t>Sasaran unit terukur, mempunyai PIC, sumber daya, waktu, metode evaluasi, dan tindak lanjut.</t>
  </si>
  <si>
    <t>6.2</t>
  </si>
  <si>
    <t>REQ-ISO-007</t>
  </si>
  <si>
    <t>ISO-RESOURCE</t>
  </si>
  <si>
    <t>Kebutuhan personel, kompetensi, infrastruktur, lingkungan kerja, pengetahuan, dan alat ukur dipenuhi.</t>
  </si>
  <si>
    <t>7.1|7.2</t>
  </si>
  <si>
    <t>RESOURCE</t>
  </si>
  <si>
    <t>REQ-ISO-008</t>
  </si>
  <si>
    <t>ISO-AWARENESS-COMM</t>
  </si>
  <si>
    <t>Kesadaran personel dan komunikasi internal maupun eksternal dikendalikan sesuai kebutuhan proses.</t>
  </si>
  <si>
    <t>7.3|7.4</t>
  </si>
  <si>
    <t>COMMUNICATION</t>
  </si>
  <si>
    <t>REQ-ISO-009</t>
  </si>
  <si>
    <t>ISO-DOCUMENT</t>
  </si>
  <si>
    <t>Dokumen dan rekaman dikendalikan berdasarkan identitas, versi, akses, retensi, perlindungan, dan pemusnahan.</t>
  </si>
  <si>
    <t>7.5</t>
  </si>
  <si>
    <t>DOCUMENT</t>
  </si>
  <si>
    <t>REQ-ISO-010</t>
  </si>
  <si>
    <t>ISO-OPERATION</t>
  </si>
  <si>
    <t>Proses layanan direncanakan, persyaratan ditinjau, perubahan dikendalikan, dan hasil diverifikasi.</t>
  </si>
  <si>
    <t>8.1|8.2|8.5|8.6</t>
  </si>
  <si>
    <t>SERVICE</t>
  </si>
  <si>
    <t>REQ-ISO-011</t>
  </si>
  <si>
    <t>ISO-VENDOR</t>
  </si>
  <si>
    <t>Penyedia eksternal dipilih, dievaluasi, diberi persyaratan jelas, dan diverifikasi hasilnya.</t>
  </si>
  <si>
    <t>8.4</t>
  </si>
  <si>
    <t>PROCUREMENT|ALL</t>
  </si>
  <si>
    <t>VENDOR</t>
  </si>
  <si>
    <t>REQ-ISO-012</t>
  </si>
  <si>
    <t>ISO-NONCONFORMITY</t>
  </si>
  <si>
    <t>Keluaran atau layanan yang tidak sesuai diidentifikasi, dikendalikan, dan ditindaklanjuti.</t>
  </si>
  <si>
    <t>8.7</t>
  </si>
  <si>
    <t>CONTROL</t>
  </si>
  <si>
    <t>REQ-ISO-013</t>
  </si>
  <si>
    <t>ISO-MONITOR</t>
  </si>
  <si>
    <t>Indikator, kepuasan, keluhan, data proses, dan capaian dianalisis secara berkala.</t>
  </si>
  <si>
    <t>9.1</t>
  </si>
  <si>
    <t>REQ-ISO-014</t>
  </si>
  <si>
    <t>ISO-INTERNAL-AUDIT</t>
  </si>
  <si>
    <t>Audit internal dikelola secara objektif, berbasis risiko, terdokumentasi, dan ditindaklanjuti.</t>
  </si>
  <si>
    <t>9.2</t>
  </si>
  <si>
    <t>P4MP|SPI|AUDITOR</t>
  </si>
  <si>
    <t>REQ-ISO-015</t>
  </si>
  <si>
    <t>ISO-MANAGEMENT-REVIEW</t>
  </si>
  <si>
    <t>Pimpinan meninjau kinerja, risiko, audit, perubahan, sumber daya, dan peluang perbaikan.</t>
  </si>
  <si>
    <t>9.3</t>
  </si>
  <si>
    <t>REQ-ISO-016</t>
  </si>
  <si>
    <t>ISO-CAPA</t>
  </si>
  <si>
    <t>Ketidaksesuaian dikoreksi, dianalisis penyebabnya, ditindaklanjuti, dan diverifikasi efektivitasnya.</t>
  </si>
  <si>
    <t>10.2</t>
  </si>
  <si>
    <t>REQ-ISO-017</t>
  </si>
  <si>
    <t>ISO-IMPROVEMENT</t>
  </si>
  <si>
    <t>Unit menunjukkan peningkatan berkelanjutan berdasarkan data, evaluasi, hasil audit, dan pembelajaran.</t>
  </si>
  <si>
    <t>10.3</t>
  </si>
  <si>
    <t>IMPROVEMENT</t>
  </si>
  <si>
    <t>question_id</t>
  </si>
  <si>
    <t>question_text</t>
  </si>
  <si>
    <t>audit_objective</t>
  </si>
  <si>
    <t>test_method</t>
  </si>
  <si>
    <t>answer_type</t>
  </si>
  <si>
    <t>Q-0001</t>
  </si>
  <si>
    <t>U-GOV-01</t>
  </si>
  <si>
    <t>GOV</t>
  </si>
  <si>
    <t>Apakah unit memiliki dasar pembentukan dan rumusan tugas serta fungsi yang masih berlaku?</t>
  </si>
  <si>
    <t>Memastikan legitimasi dan kejelasan mandat unit.</t>
  </si>
  <si>
    <t>OTK/statuta/SK pembentukan, uraian tugas</t>
  </si>
  <si>
    <t>Telaah dokumen|Wawancara</t>
  </si>
  <si>
    <t>MATURITY_0_4</t>
  </si>
  <si>
    <t>Q-0002</t>
  </si>
  <si>
    <t>U-GOV-02</t>
  </si>
  <si>
    <t>Apakah struktur, jabatan, kewenangan, dan hubungan kerja unit telah ditetapkan?</t>
  </si>
  <si>
    <t>Menilai kejelasan akuntabilitas.</t>
  </si>
  <si>
    <t>Struktur organisasi, uraian jabatan, delegasi</t>
  </si>
  <si>
    <t>Q-0003</t>
  </si>
  <si>
    <t>U-GOV-03</t>
  </si>
  <si>
    <t>Apakah seluruh fungsi unit telah diterjemahkan menjadi proses atau kegiatan operasional?</t>
  </si>
  <si>
    <t>Memastikan fungsi dijalankan melalui proses yang terdefinisi.</t>
  </si>
  <si>
    <t>Peta proses, SOP, program kerja</t>
  </si>
  <si>
    <t>Telaah dokumen|Penelusuran proses</t>
  </si>
  <si>
    <t>Q-0004</t>
  </si>
  <si>
    <t>U-GOV-04</t>
  </si>
  <si>
    <t>Apakah hubungan dan titik serah proses dengan unit lain telah diidentifikasi?</t>
  </si>
  <si>
    <t>Menilai pengendalian interaksi antarproses.</t>
  </si>
  <si>
    <t>Peta proses lintas unit, SLA internal</t>
  </si>
  <si>
    <t>Q-0005</t>
  </si>
  <si>
    <t>U-GOV-05</t>
  </si>
  <si>
    <t>Apakah unit memiliki rencana kerja tahunan yang diturunkan dari sasaran institusi?</t>
  </si>
  <si>
    <t>Menilai keselarasan perencanaan unit.</t>
  </si>
  <si>
    <t>Renstra, rencana kerja, perjanjian kinerja</t>
  </si>
  <si>
    <t>Telaah dokumen</t>
  </si>
  <si>
    <t>Q-0006</t>
  </si>
  <si>
    <t>U-GOV-06</t>
  </si>
  <si>
    <t>Apakah setiap program mempunyai indikator, target, PIC, jadwal, dan sumber daya?</t>
  </si>
  <si>
    <t>Menilai keterukuran dan kelayakan program.</t>
  </si>
  <si>
    <t>Matriks program, indikator, anggaran</t>
  </si>
  <si>
    <t>Telaah dokumen|Uji petik</t>
  </si>
  <si>
    <t>Q-0007</t>
  </si>
  <si>
    <t>U-GOV-07</t>
  </si>
  <si>
    <t>Apakah capaian program dievaluasi secara berkala?</t>
  </si>
  <si>
    <t>Menilai pemantauan kinerja.</t>
  </si>
  <si>
    <t>Laporan berkala, dashboard, notulen</t>
  </si>
  <si>
    <t>Telaah rekaman|Analisis data</t>
  </si>
  <si>
    <t>Q-0008</t>
  </si>
  <si>
    <t>U-GOV-08</t>
  </si>
  <si>
    <t>Apakah penyimpangan target dianalisis dan ditindaklanjuti?</t>
  </si>
  <si>
    <t>Menilai respons terhadap deviasi.</t>
  </si>
  <si>
    <t>9.1.3|10.2</t>
  </si>
  <si>
    <t>Analisis deviasi, rencana tindak lanjut</t>
  </si>
  <si>
    <t>Q-0009</t>
  </si>
  <si>
    <t>U-GOV-09</t>
  </si>
  <si>
    <t>Apakah risiko dan peluang proses telah diidentifikasi, ditangani, dan dipantau?</t>
  </si>
  <si>
    <t>Menilai penerapan pemikiran berbasis risiko.</t>
  </si>
  <si>
    <t>Register risiko, mitigasi, evaluasi</t>
  </si>
  <si>
    <t>Q-0010</t>
  </si>
  <si>
    <t>U-GOV-10</t>
  </si>
  <si>
    <t>Apakah perubahan iklim telah dinilai relevansinya terhadap fungsi, fasilitas, layanan, atau pihak berkepentingan?</t>
  </si>
  <si>
    <t>Memenuhi Amendment 1:2024 dan mencegah risiko yang diabaikan.</t>
  </si>
  <si>
    <t>4.1|4.2</t>
  </si>
  <si>
    <t>Analisis konteks, register risiko, kebutuhan pihak berkepentingan</t>
  </si>
  <si>
    <t>Q-0011</t>
  </si>
  <si>
    <t>U-DOC-01</t>
  </si>
  <si>
    <t>DOC</t>
  </si>
  <si>
    <t>Apakah unit mempunyai daftar dokumen internal dan eksternal yang digunakan?</t>
  </si>
  <si>
    <t>Menilai kelengkapan informasi terdokumentasi.</t>
  </si>
  <si>
    <t>Daftar induk dokumen</t>
  </si>
  <si>
    <t>Q-0012</t>
  </si>
  <si>
    <t>U-DOC-02</t>
  </si>
  <si>
    <t>Apakah SOP, pedoman, formulir, dan instruksi kerja ditinjau dan disahkan pejabat berwenang?</t>
  </si>
  <si>
    <t>Menilai validitas dokumen.</t>
  </si>
  <si>
    <t>Dokumen berstatus sah, lembar persetujuan</t>
  </si>
  <si>
    <t>Uji petik dokumen</t>
  </si>
  <si>
    <t>Q-0013</t>
  </si>
  <si>
    <t>U-DOC-03</t>
  </si>
  <si>
    <t>Apakah versi dokumen yang digunakan merupakan versi terakhir?</t>
  </si>
  <si>
    <t>Mencegah penggunaan dokumen usang.</t>
  </si>
  <si>
    <t>Riwayat versi, distribusi dokumen</t>
  </si>
  <si>
    <t>Observasi|Uji petik</t>
  </si>
  <si>
    <t>Q-0014</t>
  </si>
  <si>
    <t>U-DOC-04</t>
  </si>
  <si>
    <t>Apakah perubahan dokumen dapat ditelusuri?</t>
  </si>
  <si>
    <t>Menilai kontrol perubahan.</t>
  </si>
  <si>
    <t>Log revisi, change history</t>
  </si>
  <si>
    <t>Q-0015</t>
  </si>
  <si>
    <t>U-DOC-05</t>
  </si>
  <si>
    <t>Apakah dokumen kedaluwarsa dicegah dari penggunaan yang tidak disengaja?</t>
  </si>
  <si>
    <t>Menilai pengendalian dokumen tidak berlaku.</t>
  </si>
  <si>
    <t>Penandaan obsolete, arsip terpisah</t>
  </si>
  <si>
    <t>Q-0016</t>
  </si>
  <si>
    <t>U-DOC-06</t>
  </si>
  <si>
    <t>Apakah dokumen eksternal seperti peraturan dan pedoman diperbarui secara berkala?</t>
  </si>
  <si>
    <t>Menilai kepatuhan terhadap persyaratan terkini.</t>
  </si>
  <si>
    <t>Daftar peraturan, bukti pemutakhiran</t>
  </si>
  <si>
    <t>Q-0017</t>
  </si>
  <si>
    <t>U-DOC-07</t>
  </si>
  <si>
    <t>Apakah jenis rekaman, lokasi penyimpanan, masa retensi, dan pemusnahannya ditetapkan?</t>
  </si>
  <si>
    <t>Menilai tata kelola rekaman.</t>
  </si>
  <si>
    <t>Jadwal retensi, prosedur arsip</t>
  </si>
  <si>
    <t>Q-0018</t>
  </si>
  <si>
    <t>U-DOC-08</t>
  </si>
  <si>
    <t>Apakah rekaman mudah ditemukan, terbaca, terlindungi, dan dapat ditelusuri?</t>
  </si>
  <si>
    <t>Menilai integritas dan aksesibilitas rekaman.</t>
  </si>
  <si>
    <t>Sampel rekaman fisik/elektronik</t>
  </si>
  <si>
    <t>Uji telusur</t>
  </si>
  <si>
    <t>Q-0019</t>
  </si>
  <si>
    <t>U-DOC-09</t>
  </si>
  <si>
    <t>Apakah akses terhadap dokumen rahasia dan data pribadi dibatasi?</t>
  </si>
  <si>
    <t>Menilai perlindungan informasi.</t>
  </si>
  <si>
    <t>7.5.3|8.5.3</t>
  </si>
  <si>
    <t>Matriks akses, log akses</t>
  </si>
  <si>
    <t>Telaah konfigurasi|Uji petik</t>
  </si>
  <si>
    <t>Q-0020</t>
  </si>
  <si>
    <t>U-DOC-10</t>
  </si>
  <si>
    <t>Apakah data elektronik dicadangkan dan pemulihannya pernah diuji?</t>
  </si>
  <si>
    <t>Menilai keberlanjutan informasi.</t>
  </si>
  <si>
    <t>7.1.3|7.5.3</t>
  </si>
  <si>
    <t>Jadwal backup, log, berita acara restore</t>
  </si>
  <si>
    <t>Telaah log|Re-performance</t>
  </si>
  <si>
    <t>Q-0021</t>
  </si>
  <si>
    <t>U-SDM-01</t>
  </si>
  <si>
    <t>Apakah kebutuhan jumlah dan kompetensi personel unit telah dianalisis?</t>
  </si>
  <si>
    <t>Menilai kecukupan sumber daya manusia.</t>
  </si>
  <si>
    <t>7.1.2|7.2</t>
  </si>
  <si>
    <t>Analisis jabatan dan beban kerja</t>
  </si>
  <si>
    <t>Q-0022</t>
  </si>
  <si>
    <t>U-SDM-02</t>
  </si>
  <si>
    <t>Apakah terdapat uraian jabatan dan persyaratan kompetensi setiap posisi?</t>
  </si>
  <si>
    <t>Menilai kejelasan peran dan kompetensi.</t>
  </si>
  <si>
    <t>5.3|7.2</t>
  </si>
  <si>
    <t>Uraian jabatan, standar kompetensi</t>
  </si>
  <si>
    <t>Q-0023</t>
  </si>
  <si>
    <t>U-SDM-03</t>
  </si>
  <si>
    <t>Apakah penempatan personel sesuai kompetensi dan kewenangannya?</t>
  </si>
  <si>
    <t>Menilai kesesuaian penempatan.</t>
  </si>
  <si>
    <t>SK penempatan, CV, sertifikat</t>
  </si>
  <si>
    <t>Uji petik personel</t>
  </si>
  <si>
    <t>Q-0024</t>
  </si>
  <si>
    <t>U-SDM-04</t>
  </si>
  <si>
    <t>Apakah kesenjangan kompetensi telah diidentifikasi?</t>
  </si>
  <si>
    <t>Menilai dasar pengembangan SDM.</t>
  </si>
  <si>
    <t>Matriks kompetensi, gap analysis</t>
  </si>
  <si>
    <t>Q-0025</t>
  </si>
  <si>
    <t>U-SDM-05</t>
  </si>
  <si>
    <t>Apakah pengembangan kompetensi disusun berdasarkan kebutuhan jabatan?</t>
  </si>
  <si>
    <t>Menilai relevansi pelatihan.</t>
  </si>
  <si>
    <t>Rencana pelatihan, TNA</t>
  </si>
  <si>
    <t>Q-0026</t>
  </si>
  <si>
    <t>U-SDM-06</t>
  </si>
  <si>
    <t>Apakah efektivitas pelatihan atau pengembangan kompetensi dievaluasi?</t>
  </si>
  <si>
    <t>Menilai hasil pengembangan kompetensi.</t>
  </si>
  <si>
    <t>Evaluasi pascapelatihan, penerapan hasil</t>
  </si>
  <si>
    <t>Uji petik|Wawancara</t>
  </si>
  <si>
    <t>Q-0027</t>
  </si>
  <si>
    <t>U-SDM-07</t>
  </si>
  <si>
    <t>Apakah personel memahami kontribusinya terhadap sasaran mutu dan akibat ketidaksesuaian?</t>
  </si>
  <si>
    <t>Menilai kesadaran mutu.</t>
  </si>
  <si>
    <t>Sosialisasi, wawancara personel</t>
  </si>
  <si>
    <t>Wawancara</t>
  </si>
  <si>
    <t>Q-0028</t>
  </si>
  <si>
    <t>U-SDM-08</t>
  </si>
  <si>
    <t>Apakah tersedia mekanisme delegasi atau pengganti untuk fungsi kritis?</t>
  </si>
  <si>
    <t>Menilai kontinuitas proses.</t>
  </si>
  <si>
    <t>5.3|7.1.2</t>
  </si>
  <si>
    <t>Surat delegasi, matriks backup person</t>
  </si>
  <si>
    <t>Q-0029</t>
  </si>
  <si>
    <t>U-LYN-01</t>
  </si>
  <si>
    <t>Apakah pengguna, pihak berkepentingan, dan kebutuhan layanan unit telah diidentifikasi?</t>
  </si>
  <si>
    <t>Menilai fokus pengguna dan konteks layanan.</t>
  </si>
  <si>
    <t>4.2|5.1.2</t>
  </si>
  <si>
    <t>Peta pemangku kepentingan, hasil survei</t>
  </si>
  <si>
    <t>Q-0030</t>
  </si>
  <si>
    <t>U-LYN-02</t>
  </si>
  <si>
    <t>Apakah persyaratan setiap layanan telah ditetapkan dan dipublikasikan?</t>
  </si>
  <si>
    <t>Menilai kejelasan persyaratan layanan.</t>
  </si>
  <si>
    <t>Standar layanan, prosedur, media informasi</t>
  </si>
  <si>
    <t>Telaah dokumen|Observasi</t>
  </si>
  <si>
    <t>Q-0031</t>
  </si>
  <si>
    <t>U-LYN-03</t>
  </si>
  <si>
    <t>Apakah standar waktu, biaya, keluaran, dan penanggung jawab layanan tersedia?</t>
  </si>
  <si>
    <t>Menilai kepastian layanan.</t>
  </si>
  <si>
    <t>8.1|8.5.1</t>
  </si>
  <si>
    <t>Maklumat/standar layanan</t>
  </si>
  <si>
    <t>Q-0032</t>
  </si>
  <si>
    <t>U-LYN-04</t>
  </si>
  <si>
    <t>Apakah persyaratan pengguna diperiksa sebelum layanan diberikan?</t>
  </si>
  <si>
    <t>Menilai kecukupan tinjauan permintaan.</t>
  </si>
  <si>
    <t>Checklist/verifikasi permohonan</t>
  </si>
  <si>
    <t>Uji petik transaksi</t>
  </si>
  <si>
    <t>Q-0033</t>
  </si>
  <si>
    <t>U-LYN-05</t>
  </si>
  <si>
    <t>Apakah perubahan persyaratan layanan dikendalikan dan dikomunikasikan?</t>
  </si>
  <si>
    <t>Menilai kontrol perubahan layanan.</t>
  </si>
  <si>
    <t>8.2|8.5.6</t>
  </si>
  <si>
    <t>Notifikasi perubahan, riwayat revisi</t>
  </si>
  <si>
    <t>Q-0034</t>
  </si>
  <si>
    <t>U-LYN-06</t>
  </si>
  <si>
    <t>Apakah status permohonan dan hasil layanan dapat ditelusuri?</t>
  </si>
  <si>
    <t>Menilai identifikasi dan ketertelusuran.</t>
  </si>
  <si>
    <t>Nomor tiket/registrasi, log proses</t>
  </si>
  <si>
    <t>Q-0035</t>
  </si>
  <si>
    <t>U-LYN-07</t>
  </si>
  <si>
    <t>Apakah hasil layanan diverifikasi sebelum diserahkan?</t>
  </si>
  <si>
    <t>Menilai kontrol pelepasan keluaran.</t>
  </si>
  <si>
    <t>Checklist verifikasi, persetujuan</t>
  </si>
  <si>
    <t>Uji petik</t>
  </si>
  <si>
    <t>Q-0036</t>
  </si>
  <si>
    <t>U-LYN-08</t>
  </si>
  <si>
    <t>Apakah keluhan dicatat, dianalisis, dijawab, dan ditindaklanjuti?</t>
  </si>
  <si>
    <t>Menilai pengendalian keluhan dan koreksi.</t>
  </si>
  <si>
    <t>8.2|10.2</t>
  </si>
  <si>
    <t>Register keluhan, respons, tindak lanjut</t>
  </si>
  <si>
    <t>Telaah rekaman</t>
  </si>
  <si>
    <t>Q-0037</t>
  </si>
  <si>
    <t>U-LYN-09</t>
  </si>
  <si>
    <t>Apakah kepuasan pengguna diukur secara berkala?</t>
  </si>
  <si>
    <t>Menilai persepsi pengguna.</t>
  </si>
  <si>
    <t>Survei kepuasan, metode sampling</t>
  </si>
  <si>
    <t>Telaah data</t>
  </si>
  <si>
    <t>Q-0038</t>
  </si>
  <si>
    <t>U-LYN-10</t>
  </si>
  <si>
    <t>Apakah hasil kepuasan, keluhan, dan data layanan digunakan untuk perbaikan?</t>
  </si>
  <si>
    <t>Menilai perbaikan berbasis data.</t>
  </si>
  <si>
    <t>9.1.3|10.3</t>
  </si>
  <si>
    <t>Analisis tren, program perbaikan</t>
  </si>
  <si>
    <t>Q-0039</t>
  </si>
  <si>
    <t>U-SAR-01</t>
  </si>
  <si>
    <t>Apakah kebutuhan sarana, peralatan, dan sistem pendukung telah diidentifikasi?</t>
  </si>
  <si>
    <t>Menilai perencanaan infrastruktur.</t>
  </si>
  <si>
    <t>Analisis kebutuhan, rencana pengadaan</t>
  </si>
  <si>
    <t>Q-0040</t>
  </si>
  <si>
    <t>U-SAR-02</t>
  </si>
  <si>
    <t>Apakah sarana tersedia dalam jumlah dan kondisi yang memadai?</t>
  </si>
  <si>
    <t>Menilai kecukupan infrastruktur.</t>
  </si>
  <si>
    <t>Inventaris, inspeksi kondisi</t>
  </si>
  <si>
    <t>Q-0041</t>
  </si>
  <si>
    <t>U-SAR-03</t>
  </si>
  <si>
    <t>Apakah inventaris barang sesuai kondisi fisik dan lokasi aktual?</t>
  </si>
  <si>
    <t>Menilai akurasi data aset.</t>
  </si>
  <si>
    <t>7.1.3|8.5.2</t>
  </si>
  <si>
    <t>Kartu inventaris, hasil stock opname</t>
  </si>
  <si>
    <t>Uji fisik</t>
  </si>
  <si>
    <t>Q-0042</t>
  </si>
  <si>
    <t>U-SAR-04</t>
  </si>
  <si>
    <t>Apakah terdapat dan dilaksanakan jadwal pemeliharaan preventif?</t>
  </si>
  <si>
    <t>Menilai pemeliharaan infrastruktur.</t>
  </si>
  <si>
    <t>Jadwal dan log pemeliharaan</t>
  </si>
  <si>
    <t>Telaah rekaman|Observasi</t>
  </si>
  <si>
    <t>Q-0043</t>
  </si>
  <si>
    <t>U-SAR-05</t>
  </si>
  <si>
    <t>Apakah kerusakan, waktu henti, dan perbaikan dicatat serta dianalisis?</t>
  </si>
  <si>
    <t>Menilai pengendalian gangguan.</t>
  </si>
  <si>
    <t>7.1.3|9.1.3</t>
  </si>
  <si>
    <t>Log kerusakan, analisis downtime</t>
  </si>
  <si>
    <t>Analisis data</t>
  </si>
  <si>
    <t>Q-0044</t>
  </si>
  <si>
    <t>U-SAR-06</t>
  </si>
  <si>
    <t>Apakah alat pemantauan atau pengukuran dikalibrasi atau diverifikasi sesuai kebutuhan?</t>
  </si>
  <si>
    <t>Menilai keandalan hasil pengukuran.</t>
  </si>
  <si>
    <t>Sertifikat kalibrasi/verifikasi</t>
  </si>
  <si>
    <t>Q-0045</t>
  </si>
  <si>
    <t>U-SAR-07</t>
  </si>
  <si>
    <t>Apakah lingkungan kerja mendukung keselamatan, kesehatan, keamanan, dan kualitas layanan?</t>
  </si>
  <si>
    <t>Menilai kondisi operasi proses.</t>
  </si>
  <si>
    <t>Inspeksi, catatan K3, pengamanan</t>
  </si>
  <si>
    <t>Observasi</t>
  </si>
  <si>
    <t>Q-0046</t>
  </si>
  <si>
    <t>U-SAR-08</t>
  </si>
  <si>
    <t>Apakah risiko keadaan darurat, kebakaran, kehilangan data, dan gangguan layanan dikendalikan dan diuji?</t>
  </si>
  <si>
    <t>Menilai kesiapsiagaan dan keberlanjutan.</t>
  </si>
  <si>
    <t>6.1|7.1.3|7.1.4</t>
  </si>
  <si>
    <t>Rencana darurat, simulasi, DRP</t>
  </si>
  <si>
    <t>Q-0047</t>
  </si>
  <si>
    <t>U-PBJ-01</t>
  </si>
  <si>
    <t>PROCUREMENT</t>
  </si>
  <si>
    <t>Apakah kebutuhan pengadaan ditetapkan berdasarkan rencana, pengguna, dan risiko?</t>
  </si>
  <si>
    <t>Menilai dasar pengadaan.</t>
  </si>
  <si>
    <t>8.1|8.4</t>
  </si>
  <si>
    <t>Rencana pengadaan, TOR/KAK</t>
  </si>
  <si>
    <t>Q-0048</t>
  </si>
  <si>
    <t>U-PBJ-02</t>
  </si>
  <si>
    <t>Apakah spesifikasi barang atau jasa ditetapkan dan diverifikasi sebelum pemilihan penyedia?</t>
  </si>
  <si>
    <t>Menilai kejelasan persyaratan eksternal.</t>
  </si>
  <si>
    <t>Spesifikasi, persetujuan teknis</t>
  </si>
  <si>
    <t>Uji petik paket</t>
  </si>
  <si>
    <t>Q-0049</t>
  </si>
  <si>
    <t>U-PBJ-03</t>
  </si>
  <si>
    <t>Apakah penyedia dipilih berdasarkan kriteria yang terdokumentasi?</t>
  </si>
  <si>
    <t>Menilai objektivitas pemilihan.</t>
  </si>
  <si>
    <t>Kriteria dan evaluasi penyedia</t>
  </si>
  <si>
    <t>Q-0050</t>
  </si>
  <si>
    <t>U-PBJ-04</t>
  </si>
  <si>
    <t>Apakah barang atau jasa yang diterima diperiksa kesesuaiannya?</t>
  </si>
  <si>
    <t>Menilai verifikasi keluaran penyedia.</t>
  </si>
  <si>
    <t>8.4|8.6</t>
  </si>
  <si>
    <t>BAST, pemeriksaan barang/jasa</t>
  </si>
  <si>
    <t>Q-0051</t>
  </si>
  <si>
    <t>U-PBJ-05</t>
  </si>
  <si>
    <t>Apakah kinerja penyedia dievaluasi dan hasilnya digunakan dalam keputusan berikutnya?</t>
  </si>
  <si>
    <t>Menilai pengendalian penyedia.</t>
  </si>
  <si>
    <t>8.4|9.1.3</t>
  </si>
  <si>
    <t>Evaluasi vendor, daftar penyedia</t>
  </si>
  <si>
    <t>Q-0052</t>
  </si>
  <si>
    <t>U-PBJ-06</t>
  </si>
  <si>
    <t>Apakah proses yang dialihdayakan tetap dikendalikan oleh unit penanggung jawab?</t>
  </si>
  <si>
    <t>Menilai kontrol proses outsourcing.</t>
  </si>
  <si>
    <t>Kontrak, SLA, laporan pengawasan</t>
  </si>
  <si>
    <t>Q-0053</t>
  </si>
  <si>
    <t>U-EVL-01</t>
  </si>
  <si>
    <t>EVALUATION</t>
  </si>
  <si>
    <t>Apakah unit mempunyai indikator proses dan layanan yang dapat diukur?</t>
  </si>
  <si>
    <t>Menilai desain pemantauan.</t>
  </si>
  <si>
    <t>Kamus indikator, target</t>
  </si>
  <si>
    <t>Q-0054</t>
  </si>
  <si>
    <t>U-EVL-02</t>
  </si>
  <si>
    <t>Apakah metode, sumber data, frekuensi, dan penanggung jawab indikator ditetapkan?</t>
  </si>
  <si>
    <t>Menilai konsistensi pengukuran.</t>
  </si>
  <si>
    <t>Definisi operasional indikator</t>
  </si>
  <si>
    <t>Q-0055</t>
  </si>
  <si>
    <t>U-EVL-03</t>
  </si>
  <si>
    <t>Apakah data capaian diperiksa keakuratan, kelengkapan, dan konsistensinya?</t>
  </si>
  <si>
    <t>Menilai kualitas data.</t>
  </si>
  <si>
    <t>9.1.1|9.1.3</t>
  </si>
  <si>
    <t>Rekonsiliasi, validasi data</t>
  </si>
  <si>
    <t>Re-performance|Uji petik</t>
  </si>
  <si>
    <t>Q-0056</t>
  </si>
  <si>
    <t>U-EVL-04</t>
  </si>
  <si>
    <t>Apakah layanan atau keluaran yang tidak memenuhi persyaratan diidentifikasi dan dikendalikan?</t>
  </si>
  <si>
    <t>Menilai pengendalian ketidaksesuaian.</t>
  </si>
  <si>
    <t>Register kesalahan, koreksi</t>
  </si>
  <si>
    <t>Q-0057</t>
  </si>
  <si>
    <t>U-EVL-05</t>
  </si>
  <si>
    <t>Apakah penyebab ketidaksesuaian dianalisis secara memadai?</t>
  </si>
  <si>
    <t>Menilai kedalaman analisis akar masalah.</t>
  </si>
  <si>
    <t>5 Why, fishbone, analisis sebab</t>
  </si>
  <si>
    <t>Q-0058</t>
  </si>
  <si>
    <t>U-EVL-06</t>
  </si>
  <si>
    <t>Apakah tindakan korektif mempunyai PIC, target waktu, indikator keberhasilan, dan sumber daya?</t>
  </si>
  <si>
    <t>Menilai kelayakan tindakan.</t>
  </si>
  <si>
    <t>Rencana tindakan</t>
  </si>
  <si>
    <t>Q-0059</t>
  </si>
  <si>
    <t>U-EVL-07</t>
  </si>
  <si>
    <t>Apakah efektivitas tindakan korektif diverifikasi berdasarkan bukti objektif?</t>
  </si>
  <si>
    <t>Menilai pencegahan pengulangan.</t>
  </si>
  <si>
    <t>Hasil verifikasi, data pascatindakan</t>
  </si>
  <si>
    <t>Q-0060</t>
  </si>
  <si>
    <t>U-EVL-08</t>
  </si>
  <si>
    <t>Apakah temuan audit sebelumnya telah ditindaklanjuti sesuai target?</t>
  </si>
  <si>
    <t>Menilai disiplin tindak lanjut.</t>
  </si>
  <si>
    <t>9.2|10.2</t>
  </si>
  <si>
    <t>Rekap temuan dan status</t>
  </si>
  <si>
    <t>Q-0061</t>
  </si>
  <si>
    <t>U-EVL-09</t>
  </si>
  <si>
    <t>Apakah temuan berulang dianalisis sebagai masalah sistemik?</t>
  </si>
  <si>
    <t>Menilai pembelajaran organisasi.</t>
  </si>
  <si>
    <t>Analisis tren temuan</t>
  </si>
  <si>
    <t>Q-0062</t>
  </si>
  <si>
    <t>U-EVL-10</t>
  </si>
  <si>
    <t>Apakah terdapat bukti perbaikan berkelanjutan terhadap efektivitas proses?</t>
  </si>
  <si>
    <t>Menilai peningkatan berkelanjutan.</t>
  </si>
  <si>
    <t>Proyek perbaikan, tren indikator</t>
  </si>
  <si>
    <t>Q-0063</t>
  </si>
  <si>
    <t>PIM-01</t>
  </si>
  <si>
    <t>PIM</t>
  </si>
  <si>
    <t>Apakah kebijakan nonakademik telah ditetapkan, selaras dengan konteks, dan dikomunikasikan?</t>
  </si>
  <si>
    <t>Menilai efektivitas dan kesesuaian pelaksanaan fungsi unit.</t>
  </si>
  <si>
    <t>5.1.1|5.2</t>
  </si>
  <si>
    <t>Kebijakan, bukti sosialisasi</t>
  </si>
  <si>
    <t>Telaah dokumen|Wawancara|Uji petik</t>
  </si>
  <si>
    <t>Q-0064</t>
  </si>
  <si>
    <t>PIM-02</t>
  </si>
  <si>
    <t>Apakah sasaran institusi diturunkan menjadi sasaran unit secara konsisten?</t>
  </si>
  <si>
    <t>Matriks cascading sasaran</t>
  </si>
  <si>
    <t>Q-0065</t>
  </si>
  <si>
    <t>PIM-03</t>
  </si>
  <si>
    <t>Apakah kebutuhan sumber daya unit dievaluasi sebelum penetapan program dan anggaran?</t>
  </si>
  <si>
    <t>Notulen pembahasan, matriks kebutuhan</t>
  </si>
  <si>
    <t>Q-0066</t>
  </si>
  <si>
    <t>PIM-04</t>
  </si>
  <si>
    <t>Apakah hasil kinerja, audit, keluhan, risiko, dan perubahan menjadi masukan tinjauan manajemen?</t>
  </si>
  <si>
    <t>Bahan RTM</t>
  </si>
  <si>
    <t>Q-0067</t>
  </si>
  <si>
    <t>PIM-05</t>
  </si>
  <si>
    <t>Apakah keputusan tinjauan manajemen mempunyai PIC, target waktu, dan sumber daya?</t>
  </si>
  <si>
    <t>Rencana tindak lanjut RTM</t>
  </si>
  <si>
    <t>Q-0068</t>
  </si>
  <si>
    <t>PIM-06</t>
  </si>
  <si>
    <t>Apakah efektivitas keputusan pimpinan dipantau?</t>
  </si>
  <si>
    <t>9.3|10.3</t>
  </si>
  <si>
    <t>Monitoring keputusan</t>
  </si>
  <si>
    <t>Q-0069</t>
  </si>
  <si>
    <t>PIM-07</t>
  </si>
  <si>
    <t>Apakah keamanan, keselamatan, kesehatan, ketertiban, aksesibilitas, dan kenyamanan layanan dievaluasi?</t>
  </si>
  <si>
    <t>7.1.4|9.1</t>
  </si>
  <si>
    <t>Laporan evaluasi</t>
  </si>
  <si>
    <t>Q-0070</t>
  </si>
  <si>
    <t>PIM-08</t>
  </si>
  <si>
    <t>Apakah perubahan organisasi dan sistem direncanakan agar tidak merusak integritas proses?</t>
  </si>
  <si>
    <t>Rencana perubahan dan evaluasi dampak</t>
  </si>
  <si>
    <t>Q-0071</t>
  </si>
  <si>
    <t>REN-01</t>
  </si>
  <si>
    <t>REN</t>
  </si>
  <si>
    <t>Apakah program tahunan diturunkan dari Renstra dan dokumen perencanaan institusi?</t>
  </si>
  <si>
    <t>Renstra dan rencana kerja</t>
  </si>
  <si>
    <t>Q-0072</t>
  </si>
  <si>
    <t>REN-02</t>
  </si>
  <si>
    <t>Apakah usulan program disertai indikator, target, baseline, PIC, waktu, dan anggaran?</t>
  </si>
  <si>
    <t>Usulan program</t>
  </si>
  <si>
    <t>Q-0073</t>
  </si>
  <si>
    <t>REN-03</t>
  </si>
  <si>
    <t>Apakah indikator mempunyai definisi operasional dan sumber data yang jelas?</t>
  </si>
  <si>
    <t>Kamus indikator</t>
  </si>
  <si>
    <t>Q-0074</t>
  </si>
  <si>
    <t>REN-04</t>
  </si>
  <si>
    <t>Apakah usulan unit diverifikasi untuk mencegah duplikasi dan ketidaksesuaian kewenangan?</t>
  </si>
  <si>
    <t>Catatan verifikasi</t>
  </si>
  <si>
    <t>Q-0075</t>
  </si>
  <si>
    <t>REN-05</t>
  </si>
  <si>
    <t>Apakah perubahan program dan anggaran dikendalikan serta disetujui sesuai kewenangan?</t>
  </si>
  <si>
    <t>6.3|8.5.6</t>
  </si>
  <si>
    <t>Dokumen revisi</t>
  </si>
  <si>
    <t>Q-0076</t>
  </si>
  <si>
    <t>REN-06</t>
  </si>
  <si>
    <t>Apakah realisasi fisik dan keuangan dipantau secara berkala?</t>
  </si>
  <si>
    <t>Laporan realisasi</t>
  </si>
  <si>
    <t>Q-0077</t>
  </si>
  <si>
    <t>REN-07</t>
  </si>
  <si>
    <t>Apakah deviasi target dan realisasi dianalisis?</t>
  </si>
  <si>
    <t>Analisis deviasi</t>
  </si>
  <si>
    <t>Q-0078</t>
  </si>
  <si>
    <t>REN-08</t>
  </si>
  <si>
    <t>Apakah hasil evaluasi digunakan untuk penyusunan rencana periode berikutnya?</t>
  </si>
  <si>
    <t>Bukti perbaikan perencanaan</t>
  </si>
  <si>
    <t>Q-0079</t>
  </si>
  <si>
    <t>KEU-01</t>
  </si>
  <si>
    <t>KEU</t>
  </si>
  <si>
    <t>Apakah pelaksanaan anggaran mengacu pada dokumen anggaran yang sah?</t>
  </si>
  <si>
    <t>Dokumen anggaran</t>
  </si>
  <si>
    <t>Q-0080</t>
  </si>
  <si>
    <t>KEU-02</t>
  </si>
  <si>
    <t>Apakah fungsi pengajuan, verifikasi, persetujuan, pembayaran, dan pencatatan dipisahkan?</t>
  </si>
  <si>
    <t>5.3|8.1</t>
  </si>
  <si>
    <t>Matriks kewenangan</t>
  </si>
  <si>
    <t>Q-0081</t>
  </si>
  <si>
    <t>KEU-03</t>
  </si>
  <si>
    <t>Apakah setiap transaksi didukung dokumen yang sah, lengkap, dan dapat ditelusuri?</t>
  </si>
  <si>
    <t>7.5.3|8.5.2</t>
  </si>
  <si>
    <t>Sampel transaksi</t>
  </si>
  <si>
    <t>Q-0082</t>
  </si>
  <si>
    <t>KEU-04</t>
  </si>
  <si>
    <t>Apakah verifikasi dilakukan sebelum pembayaran?</t>
  </si>
  <si>
    <t>Checklist verifikasi</t>
  </si>
  <si>
    <t>Q-0083</t>
  </si>
  <si>
    <t>KEU-05</t>
  </si>
  <si>
    <t>Apakah rekonsiliasi keuangan dilakukan secara berkala?</t>
  </si>
  <si>
    <t>Berita acara rekonsiliasi</t>
  </si>
  <si>
    <t>Q-0084</t>
  </si>
  <si>
    <t>KEU-06</t>
  </si>
  <si>
    <t>Apakah pertanggungjawaban uang muka dan perjalanan dinas diselesaikan tepat waktu?</t>
  </si>
  <si>
    <t>8.5.1|9.1</t>
  </si>
  <si>
    <t>Register pertanggungjawaban</t>
  </si>
  <si>
    <t>Q-0085</t>
  </si>
  <si>
    <t>KEU-07</t>
  </si>
  <si>
    <t>Apakah penerimaan negara bukan pajak dicatat dan disetorkan sesuai ketentuan?</t>
  </si>
  <si>
    <t>8.1|7.5.3</t>
  </si>
  <si>
    <t>Bukti penerimaan dan setoran</t>
  </si>
  <si>
    <t>Q-0086</t>
  </si>
  <si>
    <t>KEU-08</t>
  </si>
  <si>
    <t>Apakah kewajiban perpajakan dihitung, disetor, dan dilaporkan tepat waktu?</t>
  </si>
  <si>
    <t>Dokumen perpajakan</t>
  </si>
  <si>
    <t>Q-0087</t>
  </si>
  <si>
    <t>KEU-09</t>
  </si>
  <si>
    <t>Apakah hak akses aplikasi keuangan ditinjau berkala?</t>
  </si>
  <si>
    <t>Matriks akses</t>
  </si>
  <si>
    <t>Q-0088</t>
  </si>
  <si>
    <t>KEU-10</t>
  </si>
  <si>
    <t>Apakah laporan keuangan disusun tepat waktu dan direviu?</t>
  </si>
  <si>
    <t>8.6|9.1</t>
  </si>
  <si>
    <t>Laporan dan bukti reviu</t>
  </si>
  <si>
    <t>Q-0089</t>
  </si>
  <si>
    <t>KEU-11</t>
  </si>
  <si>
    <t>Apakah koreksi transaksi dan perubahan data keuangan memiliki jejak perubahan?</t>
  </si>
  <si>
    <t>8.5.6|7.5.3</t>
  </si>
  <si>
    <t>Audit trail</t>
  </si>
  <si>
    <t>Q-0090</t>
  </si>
  <si>
    <t>KEU-12</t>
  </si>
  <si>
    <t>Apakah temuan pemeriksaan keuangan dipantau sampai efektif?</t>
  </si>
  <si>
    <t>Rekap tindak lanjut</t>
  </si>
  <si>
    <t>Q-0091</t>
  </si>
  <si>
    <t>SDM-01</t>
  </si>
  <si>
    <t>SDM_SPEC</t>
  </si>
  <si>
    <t>Apakah kebutuhan pegawai didasarkan pada analisis jabatan dan beban kerja?</t>
  </si>
  <si>
    <t>Anjab/ABK</t>
  </si>
  <si>
    <t>Q-0092</t>
  </si>
  <si>
    <t>SDM-02</t>
  </si>
  <si>
    <t>Apakah data induk pegawai lengkap dan diperbarui?</t>
  </si>
  <si>
    <t>Data pegawai</t>
  </si>
  <si>
    <t>Q-0093</t>
  </si>
  <si>
    <t>SDM-03</t>
  </si>
  <si>
    <t>Apakah dokumen pengangkatan, penempatan, kenaikan pangkat, dan karier dapat ditelusuri?</t>
  </si>
  <si>
    <t>Berkas pegawai</t>
  </si>
  <si>
    <t>Q-0094</t>
  </si>
  <si>
    <t>SDM-04</t>
  </si>
  <si>
    <t>Apakah penilaian kinerja dilakukan sesuai periode dan diverifikasi atasan?</t>
  </si>
  <si>
    <t>SKP/penilaian kinerja</t>
  </si>
  <si>
    <t>Q-0095</t>
  </si>
  <si>
    <t>SDM-05</t>
  </si>
  <si>
    <t>Apakah ketidakhadiran, keterlambatan, dan pelanggaran disiplin ditangani konsisten?</t>
  </si>
  <si>
    <t>8.5.1|10.2</t>
  </si>
  <si>
    <t>Rekap kehadiran/disiplin</t>
  </si>
  <si>
    <t>Q-0096</t>
  </si>
  <si>
    <t>SDM-06</t>
  </si>
  <si>
    <t>Apakah rencana pengembangan kompetensi didasarkan pada kesenjangan kompetensi?</t>
  </si>
  <si>
    <t>TNA</t>
  </si>
  <si>
    <t>Q-0097</t>
  </si>
  <si>
    <t>SDM-07</t>
  </si>
  <si>
    <t>Apakah hasil pelatihan diterapkan dan dievaluasi?</t>
  </si>
  <si>
    <t>Evaluasi pelatihan</t>
  </si>
  <si>
    <t>Q-0098</t>
  </si>
  <si>
    <t>SDM-08</t>
  </si>
  <si>
    <t>Apakah terdapat rencana suksesi untuk fungsi kritis?</t>
  </si>
  <si>
    <t>Rencana suksesi</t>
  </si>
  <si>
    <t>Q-0099</t>
  </si>
  <si>
    <t>SDM-09</t>
  </si>
  <si>
    <t>Apakah data pribadi pegawai dilindungi?</t>
  </si>
  <si>
    <t>Kontrol akses</t>
  </si>
  <si>
    <t>Q-0100</t>
  </si>
  <si>
    <t>SDM-10</t>
  </si>
  <si>
    <t>Apakah layanan administrasi kepegawaian mempunyai standar waktu penyelesaian?</t>
  </si>
  <si>
    <t>8.2|9.1</t>
  </si>
  <si>
    <t>Standar layanan</t>
  </si>
  <si>
    <t>Q-0101</t>
  </si>
  <si>
    <t>UMU-01</t>
  </si>
  <si>
    <t>UMU</t>
  </si>
  <si>
    <t>Apakah surat masuk dan keluar diregistrasi serta dapat ditelusuri?</t>
  </si>
  <si>
    <t>8.5.2|7.5.3</t>
  </si>
  <si>
    <t>Agenda surat</t>
  </si>
  <si>
    <t>Q-0102</t>
  </si>
  <si>
    <t>UMU-02</t>
  </si>
  <si>
    <t>Apakah klasifikasi, retensi, pemindahan, dan pemusnahan arsip ditetapkan?</t>
  </si>
  <si>
    <t>Jadwal retensi</t>
  </si>
  <si>
    <t>Q-0103</t>
  </si>
  <si>
    <t>UMU-03</t>
  </si>
  <si>
    <t>Apakah naskah dinas diperiksa sesuai tata naskah dinas?</t>
  </si>
  <si>
    <t>Sampel naskah</t>
  </si>
  <si>
    <t>Q-0104</t>
  </si>
  <si>
    <t>UMU-04</t>
  </si>
  <si>
    <t>Apakah peraturan dan keputusan internal melalui harmonisasi dan reviu hukum?</t>
  </si>
  <si>
    <t>Bukti harmonisasi</t>
  </si>
  <si>
    <t>Q-0105</t>
  </si>
  <si>
    <t>UMU-05</t>
  </si>
  <si>
    <t>Apakah daftar peraturan internal dan status berlakunya dipelihara?</t>
  </si>
  <si>
    <t>Register peraturan</t>
  </si>
  <si>
    <t>Q-0106</t>
  </si>
  <si>
    <t>UMU-06</t>
  </si>
  <si>
    <t>Apakah struktur organisasi dan uraian tugas diperbarui saat terjadi perubahan?</t>
  </si>
  <si>
    <t>6.3|5.3</t>
  </si>
  <si>
    <t>Dokumen organisasi</t>
  </si>
  <si>
    <t>Q-0107</t>
  </si>
  <si>
    <t>UMU-07</t>
  </si>
  <si>
    <t>Apakah proses bisnis dan SOP disusun sesuai kewenangan unit?</t>
  </si>
  <si>
    <t>Peta proses/SOP</t>
  </si>
  <si>
    <t>Q-0108</t>
  </si>
  <si>
    <t>UMU-08</t>
  </si>
  <si>
    <t>Apakah layanan kerumahtanggaan mempunyai jadwal, standar, dan pencatatan keluhan?</t>
  </si>
  <si>
    <t>8.5.1|9.1.2</t>
  </si>
  <si>
    <t>Jadwal dan keluhan</t>
  </si>
  <si>
    <t>Q-0109</t>
  </si>
  <si>
    <t>UMU-09</t>
  </si>
  <si>
    <t>Apakah akses tamu, penggunaan ruang, kendaraan, dan fasilitas dikendalikan?</t>
  </si>
  <si>
    <t>7.1.3|7.1.4</t>
  </si>
  <si>
    <t>Log akses/peminjaman</t>
  </si>
  <si>
    <t>Q-0110</t>
  </si>
  <si>
    <t>UMU-10</t>
  </si>
  <si>
    <t>Apakah kesiapsiagaan keadaan darurat diuji melalui simulasi atau evaluasi?</t>
  </si>
  <si>
    <t>6.1|7.1.4</t>
  </si>
  <si>
    <t>Simulasi darurat</t>
  </si>
  <si>
    <t>Q-0111</t>
  </si>
  <si>
    <t>BMN-01</t>
  </si>
  <si>
    <t>BMN</t>
  </si>
  <si>
    <t>Apakah seluruh aset tercatat dan mempunyai identitas barang?</t>
  </si>
  <si>
    <t>Daftar BMN</t>
  </si>
  <si>
    <t>Q-0112</t>
  </si>
  <si>
    <t>BMN-02</t>
  </si>
  <si>
    <t>Apakah lokasi, pengguna, dan penanggung jawab aset sesuai kondisi aktual?</t>
  </si>
  <si>
    <t>Kartu inventaris</t>
  </si>
  <si>
    <t>Q-0113</t>
  </si>
  <si>
    <t>BMN-03</t>
  </si>
  <si>
    <t>Apakah inventarisasi fisik dilakukan berkala?</t>
  </si>
  <si>
    <t>Stock opname</t>
  </si>
  <si>
    <t>Q-0114</t>
  </si>
  <si>
    <t>BMN-04</t>
  </si>
  <si>
    <t>Apakah selisih pencatatan dan kondisi fisik ditindaklanjuti?</t>
  </si>
  <si>
    <t>8.7|10.2</t>
  </si>
  <si>
    <t>Berita acara selisih</t>
  </si>
  <si>
    <t>Q-0115</t>
  </si>
  <si>
    <t>BMN-05</t>
  </si>
  <si>
    <t>Apakah peminjaman atau pemindahan aset disetujui dan dicatat?</t>
  </si>
  <si>
    <t>Dokumen peminjaman</t>
  </si>
  <si>
    <t>Q-0116</t>
  </si>
  <si>
    <t>BMN-06</t>
  </si>
  <si>
    <t>Apakah pemeliharaan aset disusun berdasarkan kondisi dan kritikalitas?</t>
  </si>
  <si>
    <t>7.1.3|6.1</t>
  </si>
  <si>
    <t>Rencana pemeliharaan</t>
  </si>
  <si>
    <t>Q-0117</t>
  </si>
  <si>
    <t>BMN-07</t>
  </si>
  <si>
    <t>Apakah kerusakan, kehilangan, dan penghapusan aset ditangani sesuai prosedur?</t>
  </si>
  <si>
    <t>Dokumen penanganan</t>
  </si>
  <si>
    <t>Q-0118</t>
  </si>
  <si>
    <t>BMN-08</t>
  </si>
  <si>
    <t>Apakah penggunaan aset oleh pihak luar mempunyai persetujuan dan pengendalian?</t>
  </si>
  <si>
    <t>Perjanjian/persetujuan</t>
  </si>
  <si>
    <t>Q-0119</t>
  </si>
  <si>
    <t>BMN-09</t>
  </si>
  <si>
    <t>Apakah laporan BMN direkonsiliasi dengan data keuangan?</t>
  </si>
  <si>
    <t>Rekonsiliasi BMN</t>
  </si>
  <si>
    <t>Q-0120</t>
  </si>
  <si>
    <t>BMN-10</t>
  </si>
  <si>
    <t>Apakah aset kritis memiliki rencana penggantian dan kontinuitas layanan?</t>
  </si>
  <si>
    <t>6.1|7.1.3</t>
  </si>
  <si>
    <t>Rencana penggantian</t>
  </si>
  <si>
    <t>Q-0121</t>
  </si>
  <si>
    <t>AKM-01</t>
  </si>
  <si>
    <t>AKM</t>
  </si>
  <si>
    <t>Apakah data mahasiswa direkonsiliasi dengan sumber data resmi?</t>
  </si>
  <si>
    <t>Rekonsiliasi data</t>
  </si>
  <si>
    <t>Q-0122</t>
  </si>
  <si>
    <t>AKM-02</t>
  </si>
  <si>
    <t>Apakah perubahan data mahasiswa melalui verifikasi dan persetujuan?</t>
  </si>
  <si>
    <t>8.5.6|8.6</t>
  </si>
  <si>
    <t>Log perubahan</t>
  </si>
  <si>
    <t>Q-0123</t>
  </si>
  <si>
    <t>AKM-03</t>
  </si>
  <si>
    <t>Apakah layanan registrasi, cuti, pindah, dan kelulusan mempunyai standar layanan?</t>
  </si>
  <si>
    <t>Q-0124</t>
  </si>
  <si>
    <t>AKM-04</t>
  </si>
  <si>
    <t>Apakah dokumen akademik dilindungi dan dapat ditelusuri?</t>
  </si>
  <si>
    <t>Arsip akademik</t>
  </si>
  <si>
    <t>Q-0125</t>
  </si>
  <si>
    <t>AKM-05</t>
  </si>
  <si>
    <t>Apakah data statistik disusun dengan definisi dan sumber data konsisten?</t>
  </si>
  <si>
    <t>Kamus data</t>
  </si>
  <si>
    <t>Q-0126</t>
  </si>
  <si>
    <t>AKM-06</t>
  </si>
  <si>
    <t>Apakah layanan kemahasiswaan mempunyai persyaratan, jadwal, PIC, dan pengaduan?</t>
  </si>
  <si>
    <t>8.2|9.1.2</t>
  </si>
  <si>
    <t>Q-0127</t>
  </si>
  <si>
    <t>AKM-07</t>
  </si>
  <si>
    <t>Apakah pemberian beasiswa melalui seleksi, verifikasi, dan dokumentasi?</t>
  </si>
  <si>
    <t>8.1|8.6</t>
  </si>
  <si>
    <t>Dokumen seleksi</t>
  </si>
  <si>
    <t>Q-0128</t>
  </si>
  <si>
    <t>AKM-08</t>
  </si>
  <si>
    <t>Apakah kegiatan organisasi mahasiswa memperoleh persetujuan dan evaluasi?</t>
  </si>
  <si>
    <t>8.1|9.1</t>
  </si>
  <si>
    <t>Proposal dan laporan</t>
  </si>
  <si>
    <t>Q-0129</t>
  </si>
  <si>
    <t>AKM-09</t>
  </si>
  <si>
    <t>Apakah kejadian keselamatan atau pelanggaran dalam kegiatan mahasiswa ditindaklanjuti?</t>
  </si>
  <si>
    <t>Laporan kejadian</t>
  </si>
  <si>
    <t>Q-0130</t>
  </si>
  <si>
    <t>AKM-10</t>
  </si>
  <si>
    <t>Apakah data alumni diperbarui dan digunakan untuk evaluasi layanan?</t>
  </si>
  <si>
    <t>Database alumni</t>
  </si>
  <si>
    <t>Q-0131</t>
  </si>
  <si>
    <t>AKM-11</t>
  </si>
  <si>
    <t>Apakah kerahasiaan data mahasiswa dan alumni dijaga?</t>
  </si>
  <si>
    <t>Q-0132</t>
  </si>
  <si>
    <t>AKM-12</t>
  </si>
  <si>
    <t>Apakah kepuasan mahasiswa terhadap layanan administrasi diukur?</t>
  </si>
  <si>
    <t>Survei kepuasan</t>
  </si>
  <si>
    <t>Q-0133</t>
  </si>
  <si>
    <t>KER-01</t>
  </si>
  <si>
    <t>KERHUM</t>
  </si>
  <si>
    <t>Apakah setiap kerja sama didasarkan pada kebutuhan dan sasaran institusi?</t>
  </si>
  <si>
    <t>6.2|8.1</t>
  </si>
  <si>
    <t>Analisis kebutuhan</t>
  </si>
  <si>
    <t>Q-0134</t>
  </si>
  <si>
    <t>KER-02</t>
  </si>
  <si>
    <t>Apakah calon mitra dinilai dari legalitas, kompetensi, reputasi, dan risiko?</t>
  </si>
  <si>
    <t>8.4|6.1</t>
  </si>
  <si>
    <t>Due diligence</t>
  </si>
  <si>
    <t>Q-0135</t>
  </si>
  <si>
    <t>KER-03</t>
  </si>
  <si>
    <t>Apakah naskah kerja sama melalui reviu substansi, hukum, dan kewenangan?</t>
  </si>
  <si>
    <t>Bukti reviu</t>
  </si>
  <si>
    <t>Q-0136</t>
  </si>
  <si>
    <t>KER-04</t>
  </si>
  <si>
    <t>Apakah kerja sama mempunyai output, PIC, jadwal, dan indikator manfaat?</t>
  </si>
  <si>
    <t>Matriks kerja sama</t>
  </si>
  <si>
    <t>Q-0137</t>
  </si>
  <si>
    <t>KER-05</t>
  </si>
  <si>
    <t>Apakah masa berlaku dan kewajiban para pihak dipantau?</t>
  </si>
  <si>
    <t>8.4|9.1</t>
  </si>
  <si>
    <t>Register kerja sama</t>
  </si>
  <si>
    <t>Q-0138</t>
  </si>
  <si>
    <t>KER-06</t>
  </si>
  <si>
    <t>Apakah hasil pelaksanaan kerja sama dilaporkan dan dievaluasi?</t>
  </si>
  <si>
    <t>Q-0139</t>
  </si>
  <si>
    <t>KER-07</t>
  </si>
  <si>
    <t>Apakah kerja sama tidak aktif ditindaklanjuti atau dihentikan formal?</t>
  </si>
  <si>
    <t>Dokumen tindak lanjut</t>
  </si>
  <si>
    <t>Q-0140</t>
  </si>
  <si>
    <t>HUM-01</t>
  </si>
  <si>
    <t>Apakah informasi publik diperiksa sebelum diterbitkan?</t>
  </si>
  <si>
    <t>Bukti verifikasi publikasi</t>
  </si>
  <si>
    <t>Q-0141</t>
  </si>
  <si>
    <t>HUM-02</t>
  </si>
  <si>
    <t>Apakah permohonan informasi publik dicatat dan diselesaikan tepat waktu?</t>
  </si>
  <si>
    <t>Register permohonan</t>
  </si>
  <si>
    <t>Q-0142</t>
  </si>
  <si>
    <t>HUM-03</t>
  </si>
  <si>
    <t>Apakah informasi yang dikecualikan dilindungi?</t>
  </si>
  <si>
    <t>Klasifikasi informasi</t>
  </si>
  <si>
    <t>Q-0143</t>
  </si>
  <si>
    <t>HUM-04</t>
  </si>
  <si>
    <t>Apakah pengaduan masyarakat didokumentasikan dan ditindaklanjuti?</t>
  </si>
  <si>
    <t>9.1.2|10.2</t>
  </si>
  <si>
    <t>Register pengaduan</t>
  </si>
  <si>
    <t>Q-0144</t>
  </si>
  <si>
    <t>HUM-05</t>
  </si>
  <si>
    <t>Apakah publikasi institusi menggunakan informasi akurat dan konsisten?</t>
  </si>
  <si>
    <t>Sampel publikasi</t>
  </si>
  <si>
    <t>Q-0145</t>
  </si>
  <si>
    <t>TI-01</t>
  </si>
  <si>
    <t>TI</t>
  </si>
  <si>
    <t>Apakah terdapat inventaris aplikasi, server, perangkat, jaringan, domain, dan pemilik sistem?</t>
  </si>
  <si>
    <t>Inventaris TI</t>
  </si>
  <si>
    <t>Q-0146</t>
  </si>
  <si>
    <t>TI-02</t>
  </si>
  <si>
    <t>Apakah kebutuhan sistem informasi disetujui dan didokumentasikan sebelum pengembangan?</t>
  </si>
  <si>
    <t>Dokumen kebutuhan</t>
  </si>
  <si>
    <t>Q-0147</t>
  </si>
  <si>
    <t>TI-03</t>
  </si>
  <si>
    <t>Apakah pengembangan dan perubahan aplikasi melalui pengujian serta persetujuan?</t>
  </si>
  <si>
    <t>8.3|8.5.6</t>
  </si>
  <si>
    <t>UAT, change log</t>
  </si>
  <si>
    <t>Q-0148</t>
  </si>
  <si>
    <t>TI-04</t>
  </si>
  <si>
    <t>Apakah hak akses diberikan berdasarkan tugas dan disetujui pejabat berwenang?</t>
  </si>
  <si>
    <t>5.3|7.5.3</t>
  </si>
  <si>
    <t>Q-0149</t>
  </si>
  <si>
    <t>TI-05</t>
  </si>
  <si>
    <t>Apakah akun pegawai yang pindah atau berhenti segera dinonaktifkan?</t>
  </si>
  <si>
    <t>Log deaktivasi</t>
  </si>
  <si>
    <t>Q-0150</t>
  </si>
  <si>
    <t>TI-06</t>
  </si>
  <si>
    <t>Apakah hak akses pengguna ditinjau berkala?</t>
  </si>
  <si>
    <t>7.5.3|9.1</t>
  </si>
  <si>
    <t>Access review</t>
  </si>
  <si>
    <t>Q-0151</t>
  </si>
  <si>
    <t>TI-07</t>
  </si>
  <si>
    <t>Apakah backup dilakukan sesuai jadwal dan diuji pemulihannya?</t>
  </si>
  <si>
    <t>Log backup dan restore</t>
  </si>
  <si>
    <t>Q-0152</t>
  </si>
  <si>
    <t>TI-08</t>
  </si>
  <si>
    <t>Apakah insiden keamanan dan gangguan layanan dicatat, diklasifikasikan, dan ditindaklanjuti?</t>
  </si>
  <si>
    <t>Register insiden</t>
  </si>
  <si>
    <t>Q-0153</t>
  </si>
  <si>
    <t>TI-09</t>
  </si>
  <si>
    <t>Apakah pembaruan perangkat lunak dan pengamanan kerentanan dilakukan berkala?</t>
  </si>
  <si>
    <t>Patch log, vulnerability report</t>
  </si>
  <si>
    <t>Q-0154</t>
  </si>
  <si>
    <t>TI-10</t>
  </si>
  <si>
    <t>Apakah ketersediaan jaringan, server, dan aplikasi dipantau?</t>
  </si>
  <si>
    <t>Monitoring uptime</t>
  </si>
  <si>
    <t>Q-0155</t>
  </si>
  <si>
    <t>TI-11</t>
  </si>
  <si>
    <t>Apakah layanan bantuan pengguna mempunyai tiket, prioritas, dan target penyelesaian?</t>
  </si>
  <si>
    <t>8.2|8.5.1</t>
  </si>
  <si>
    <t>Sistem tiket</t>
  </si>
  <si>
    <t>Q-0156</t>
  </si>
  <si>
    <t>TI-12</t>
  </si>
  <si>
    <t>Apakah terdapat rencana pemulihan bencana dan keberlanjutan layanan TI?</t>
  </si>
  <si>
    <t>DRP/BCP</t>
  </si>
  <si>
    <t>Q-0157</t>
  </si>
  <si>
    <t>TI-13</t>
  </si>
  <si>
    <t>Apakah layanan cloud dan pihak ketiga dikendalikan melalui perjanjian dan evaluasi?</t>
  </si>
  <si>
    <t>Kontrak/SLA</t>
  </si>
  <si>
    <t>Q-0158</t>
  </si>
  <si>
    <t>TI-14</t>
  </si>
  <si>
    <t>Apakah integrasi data menggunakan sumber data induk yang sah dan tervalidasi?</t>
  </si>
  <si>
    <t>8.5.2|9.1.1</t>
  </si>
  <si>
    <t>Arsitektur data</t>
  </si>
  <si>
    <t>Q-0159</t>
  </si>
  <si>
    <t>PER-01</t>
  </si>
  <si>
    <t>PER</t>
  </si>
  <si>
    <t>Apakah kebutuhan koleksi dianalisis berdasarkan program studi dan kebutuhan pengguna?</t>
  </si>
  <si>
    <t>4.2|8.1</t>
  </si>
  <si>
    <t>Q-0160</t>
  </si>
  <si>
    <t>PER-02</t>
  </si>
  <si>
    <t>Apakah pengadaan koleksi mengikuti hasil analisis kebutuhan?</t>
  </si>
  <si>
    <t>Daftar pengadaan</t>
  </si>
  <si>
    <t>Q-0161</t>
  </si>
  <si>
    <t>PER-03</t>
  </si>
  <si>
    <t>Apakah koleksi dicatat, diklasifikasi, diberi identitas, dan dapat ditelusuri?</t>
  </si>
  <si>
    <t>Katalog</t>
  </si>
  <si>
    <t>Q-0162</t>
  </si>
  <si>
    <t>PER-04</t>
  </si>
  <si>
    <t>Apakah peminjaman, pengembalian, perpanjangan, dan denda dikendalikan?</t>
  </si>
  <si>
    <t>Log sirkulasi</t>
  </si>
  <si>
    <t>Q-0163</t>
  </si>
  <si>
    <t>PER-05</t>
  </si>
  <si>
    <t>Apakah koleksi hilang atau rusak ditangani sesuai prosedur?</t>
  </si>
  <si>
    <t>Register kehilangan</t>
  </si>
  <si>
    <t>Q-0164</t>
  </si>
  <si>
    <t>PER-06</t>
  </si>
  <si>
    <t>Apakah akses sumber elektronik, lisensi, dan akun pengguna dikendalikan?</t>
  </si>
  <si>
    <t>8.4|7.5.3</t>
  </si>
  <si>
    <t>Lisensi dan akun</t>
  </si>
  <si>
    <t>Q-0165</t>
  </si>
  <si>
    <t>PER-07</t>
  </si>
  <si>
    <t>Apakah kondisi ruang dan penyimpanan menjaga keamanan koleksi?</t>
  </si>
  <si>
    <t>7.1.3|8.5.4</t>
  </si>
  <si>
    <t>Inspeksi ruang</t>
  </si>
  <si>
    <t>Q-0166</t>
  </si>
  <si>
    <t>PER-08</t>
  </si>
  <si>
    <t>Apakah statistik penggunaan dianalisis untuk pengembangan layanan?</t>
  </si>
  <si>
    <t>Statistik layanan</t>
  </si>
  <si>
    <t>Q-0167</t>
  </si>
  <si>
    <t>PER-09</t>
  </si>
  <si>
    <t>Apakah kepuasan pengguna perpustakaan diukur?</t>
  </si>
  <si>
    <t>Survei</t>
  </si>
  <si>
    <t>Q-0168</t>
  </si>
  <si>
    <t>PER-10</t>
  </si>
  <si>
    <t>Apakah koleksi tidak relevan atau rusak dievaluasi untuk penyiangan?</t>
  </si>
  <si>
    <t>8.7|10.3</t>
  </si>
  <si>
    <t>Dokumen penyiangan</t>
  </si>
  <si>
    <t>Q-0169</t>
  </si>
  <si>
    <t>MES-01</t>
  </si>
  <si>
    <t>MES</t>
  </si>
  <si>
    <t>Apakah seluruh mesin dan peralatan mempunyai identitas serta riwayat pemeliharaan?</t>
  </si>
  <si>
    <t>Inventaris dan log</t>
  </si>
  <si>
    <t>Q-0170</t>
  </si>
  <si>
    <t>MES-02</t>
  </si>
  <si>
    <t>Apakah tingkat kritis peralatan telah ditentukan?</t>
  </si>
  <si>
    <t>Matriks kritikalitas</t>
  </si>
  <si>
    <t>Q-0171</t>
  </si>
  <si>
    <t>MES-03</t>
  </si>
  <si>
    <t>Apakah jadwal pemeliharaan preventif dilaksanakan?</t>
  </si>
  <si>
    <t>Jadwal dan bukti</t>
  </si>
  <si>
    <t>Q-0172</t>
  </si>
  <si>
    <t>MES-04</t>
  </si>
  <si>
    <t>Apakah permintaan perbaikan dicatat dan diprioritaskan berdasarkan risiko?</t>
  </si>
  <si>
    <t>8.1|6.1</t>
  </si>
  <si>
    <t>Work order</t>
  </si>
  <si>
    <t>Q-0173</t>
  </si>
  <si>
    <t>MES-05</t>
  </si>
  <si>
    <t>Apakah teknisi memiliki kompetensi sesuai pekerjaan?</t>
  </si>
  <si>
    <t>Sertifikat/kompetensi</t>
  </si>
  <si>
    <t>Q-0174</t>
  </si>
  <si>
    <t>MES-06</t>
  </si>
  <si>
    <t>Apakah suku cadang kritis tersedia dan dikendalikan?</t>
  </si>
  <si>
    <t>Persediaan suku cadang</t>
  </si>
  <si>
    <t>Q-0175</t>
  </si>
  <si>
    <t>MES-07</t>
  </si>
  <si>
    <t>Apakah hasil perbaikan diuji sebelum peralatan diserahkan?</t>
  </si>
  <si>
    <t>Hasil pengujian</t>
  </si>
  <si>
    <t>Q-0176</t>
  </si>
  <si>
    <t>MES-08</t>
  </si>
  <si>
    <t>Apakah waktu henti dan kerusakan berulang dianalisis?</t>
  </si>
  <si>
    <t>Analisis downtime</t>
  </si>
  <si>
    <t>Q-0177</t>
  </si>
  <si>
    <t>MES-09</t>
  </si>
  <si>
    <t>Apakah peralatan tidak aman diberi identifikasi dan dicegah digunakan?</t>
  </si>
  <si>
    <t>Tag out/lock out</t>
  </si>
  <si>
    <t>Q-0178</t>
  </si>
  <si>
    <t>MES-10</t>
  </si>
  <si>
    <t>Apakah pengguna menerima petunjuk keselamatan dan pengoperasian?</t>
  </si>
  <si>
    <t>7.3|8.5.1</t>
  </si>
  <si>
    <t>Instruksi dan sosialisasi</t>
  </si>
  <si>
    <t>Q-0179</t>
  </si>
  <si>
    <t>BHS-01</t>
  </si>
  <si>
    <t>BHS</t>
  </si>
  <si>
    <t>Apakah program peningkatan kemampuan bahasa disusun berdasarkan kebutuhan pengguna?</t>
  </si>
  <si>
    <t>Q-0180</t>
  </si>
  <si>
    <t>BHS-02</t>
  </si>
  <si>
    <t>Apakah tenaga pengajar atau penguji memenuhi kompetensi?</t>
  </si>
  <si>
    <t>Bukti kompetensi</t>
  </si>
  <si>
    <t>Q-0181</t>
  </si>
  <si>
    <t>BHS-03</t>
  </si>
  <si>
    <t>Apakah materi dan metode layanan ditinjau berkala?</t>
  </si>
  <si>
    <t>8.3|10.3</t>
  </si>
  <si>
    <t>Hasil tinjauan</t>
  </si>
  <si>
    <t>Q-0182</t>
  </si>
  <si>
    <t>BHS-04</t>
  </si>
  <si>
    <t>Apakah identitas peserta dan hasil ujian diverifikasi?</t>
  </si>
  <si>
    <t>8.5.2|8.6</t>
  </si>
  <si>
    <t>Daftar peserta/hasil</t>
  </si>
  <si>
    <t>Q-0183</t>
  </si>
  <si>
    <t>BHS-05</t>
  </si>
  <si>
    <t>Apakah soal, kunci, dan hasil pengujian dilindungi?</t>
  </si>
  <si>
    <t>Q-0184</t>
  </si>
  <si>
    <t>BHS-06</t>
  </si>
  <si>
    <t>Apakah perangkat pengujian diperiksa sebelum digunakan?</t>
  </si>
  <si>
    <t>7.1.5|8.5.1</t>
  </si>
  <si>
    <t>Checklist perangkat</t>
  </si>
  <si>
    <t>Q-0185</t>
  </si>
  <si>
    <t>BHS-07</t>
  </si>
  <si>
    <t>Apakah sertifikat atau hasil tes dapat diverifikasi keasliannya?</t>
  </si>
  <si>
    <t>Nomor verifikasi</t>
  </si>
  <si>
    <t>Q-0186</t>
  </si>
  <si>
    <t>BHS-08</t>
  </si>
  <si>
    <t>Apakah keluhan dan koreksi hasil ditangani melalui prosedur?</t>
  </si>
  <si>
    <t>Register keluhan</t>
  </si>
  <si>
    <t>Q-0187</t>
  </si>
  <si>
    <t>KAR-01</t>
  </si>
  <si>
    <t>KAR</t>
  </si>
  <si>
    <t>Apakah kebutuhan dunia usaha dan industri dipetakan berkala?</t>
  </si>
  <si>
    <t>4.2|9.1.3</t>
  </si>
  <si>
    <t>Pemetaan industri</t>
  </si>
  <si>
    <t>Q-0188</t>
  </si>
  <si>
    <t>KAR-02</t>
  </si>
  <si>
    <t>Apakah basis data perusahaan dan peluang kerja diperbarui?</t>
  </si>
  <si>
    <t>Database mitra</t>
  </si>
  <si>
    <t>Q-0189</t>
  </si>
  <si>
    <t>KAR-03</t>
  </si>
  <si>
    <t>Apakah informasi lowongan diverifikasi sebelum dipublikasikan?</t>
  </si>
  <si>
    <t>Bukti verifikasi</t>
  </si>
  <si>
    <t>Q-0190</t>
  </si>
  <si>
    <t>KAR-04</t>
  </si>
  <si>
    <t>Apakah pelatihan karier didasarkan pada kesenjangan kompetensi mahasiswa?</t>
  </si>
  <si>
    <t>7.2|8.1</t>
  </si>
  <si>
    <t>Q-0191</t>
  </si>
  <si>
    <t>KAR-05</t>
  </si>
  <si>
    <t>Apakah job fair, rekrutmen, dan magang mempunyai prosedur dan evaluasi?</t>
  </si>
  <si>
    <t>SOP/laporan</t>
  </si>
  <si>
    <t>Q-0192</t>
  </si>
  <si>
    <t>KAR-06</t>
  </si>
  <si>
    <t>Apakah data mahasiswa dan alumni yang diberikan kepada mitra dilindungi?</t>
  </si>
  <si>
    <t>8.5.3|7.5.3</t>
  </si>
  <si>
    <t>Persetujuan dan kontrol data</t>
  </si>
  <si>
    <t>Q-0193</t>
  </si>
  <si>
    <t>KAR-07</t>
  </si>
  <si>
    <t>Apakah program kewirausahaan mempunyai kriteria seleksi dan indikator keberhasilan?</t>
  </si>
  <si>
    <t>Kriteria program</t>
  </si>
  <si>
    <t>Q-0194</t>
  </si>
  <si>
    <t>KAR-08</t>
  </si>
  <si>
    <t>Apakah perkembangan usaha peserta dipantau?</t>
  </si>
  <si>
    <t>Monitoring usaha</t>
  </si>
  <si>
    <t>Q-0195</t>
  </si>
  <si>
    <t>KAR-09</t>
  </si>
  <si>
    <t>Apakah umpan balik perusahaan digunakan untuk perbaikan layanan?</t>
  </si>
  <si>
    <t>Umpan balik</t>
  </si>
  <si>
    <t>Q-0196</t>
  </si>
  <si>
    <t>KAR-10</t>
  </si>
  <si>
    <t>Apakah capaian penempatan kerja dan kewirausahaan dilaporkan secara valid?</t>
  </si>
  <si>
    <t>Data capaian</t>
  </si>
  <si>
    <t>Q-0197</t>
  </si>
  <si>
    <t>UK-01</t>
  </si>
  <si>
    <t>UKOM</t>
  </si>
  <si>
    <t>Apakah skema uji kompetensi yang digunakan masih berlaku?</t>
  </si>
  <si>
    <t>Skema berlaku</t>
  </si>
  <si>
    <t>Q-0198</t>
  </si>
  <si>
    <t>UK-02</t>
  </si>
  <si>
    <t>Apakah asesor mempunyai sertifikat dan ruang lingkup sesuai?</t>
  </si>
  <si>
    <t>Sertifikat asesor</t>
  </si>
  <si>
    <t>Q-0199</t>
  </si>
  <si>
    <t>UK-03</t>
  </si>
  <si>
    <t>Apakah peserta diverifikasi sebelum mengikuti ujian?</t>
  </si>
  <si>
    <t>8.2|8.5.2</t>
  </si>
  <si>
    <t>Verifikasi peserta</t>
  </si>
  <si>
    <t>Q-0200</t>
  </si>
  <si>
    <t>UK-04</t>
  </si>
  <si>
    <t>Apakah perangkat asesmen dikendalikan dan dijaga kerahasiaannya?</t>
  </si>
  <si>
    <t>Kontrol perangkat</t>
  </si>
  <si>
    <t>Q-0201</t>
  </si>
  <si>
    <t>UK-05</t>
  </si>
  <si>
    <t>Apakah tempat uji memenuhi persyaratan skema?</t>
  </si>
  <si>
    <t>7.1.3|8.1</t>
  </si>
  <si>
    <t>Checklist TUK</t>
  </si>
  <si>
    <t>Q-0202</t>
  </si>
  <si>
    <t>UK-06</t>
  </si>
  <si>
    <t>Apakah konflik kepentingan asesor diidentifikasi?</t>
  </si>
  <si>
    <t>5.3|9.2</t>
  </si>
  <si>
    <t>Deklarasi konflik</t>
  </si>
  <si>
    <t>Q-0203</t>
  </si>
  <si>
    <t>UK-07</t>
  </si>
  <si>
    <t>Apakah hasil asesmen didukung bukti yang dapat ditelusuri?</t>
  </si>
  <si>
    <t>Bukti asesmen</t>
  </si>
  <si>
    <t>Q-0204</t>
  </si>
  <si>
    <t>UK-08</t>
  </si>
  <si>
    <t>Apakah keluhan dan banding ditangani independen?</t>
  </si>
  <si>
    <t>Register keluhan/banding</t>
  </si>
  <si>
    <t>Q-0205</t>
  </si>
  <si>
    <t>UK-09</t>
  </si>
  <si>
    <t>Apakah sertifikat dan hasil uji dikendalikan dari penyalahgunaan?</t>
  </si>
  <si>
    <t>Register sertifikat</t>
  </si>
  <si>
    <t>Q-0206</t>
  </si>
  <si>
    <t>UK-10</t>
  </si>
  <si>
    <t>Apakah kinerja layanan dan kepuasan peserta dievaluasi?</t>
  </si>
  <si>
    <t>9.1.2|9.1.3</t>
  </si>
  <si>
    <t>Evaluasi layanan</t>
  </si>
  <si>
    <t>Q-0207</t>
  </si>
  <si>
    <t>P3M-01</t>
  </si>
  <si>
    <t>Apakah program penelitian dan pengabdian direncanakan berdasarkan kebijakan institusi?</t>
  </si>
  <si>
    <t>Rencana program</t>
  </si>
  <si>
    <t>Q-0208</t>
  </si>
  <si>
    <t>P3M-02</t>
  </si>
  <si>
    <t>Apakah seleksi proposal menggunakan kriteria dan penilai yang ditetapkan?</t>
  </si>
  <si>
    <t>Kriteria dan hasil seleksi</t>
  </si>
  <si>
    <t>Q-0209</t>
  </si>
  <si>
    <t>P3M-03</t>
  </si>
  <si>
    <t>Apakah konflik kepentingan penilai dikendalikan?</t>
  </si>
  <si>
    <t>Q-0210</t>
  </si>
  <si>
    <t>P3M-04</t>
  </si>
  <si>
    <t>Apakah kontrak, anggaran, keluaran, dan jadwal terdokumentasi?</t>
  </si>
  <si>
    <t>7.5.3|8.1</t>
  </si>
  <si>
    <t>Kontrak kegiatan</t>
  </si>
  <si>
    <t>Q-0211</t>
  </si>
  <si>
    <t>P3M-05</t>
  </si>
  <si>
    <t>Apakah kemajuan dan penggunaan dana dipantau?</t>
  </si>
  <si>
    <t>Monitoring</t>
  </si>
  <si>
    <t>Q-0212</t>
  </si>
  <si>
    <t>P3M-06</t>
  </si>
  <si>
    <t>Apakah perubahan judul, anggota, anggaran, atau keluaran mendapat persetujuan?</t>
  </si>
  <si>
    <t>Dokumen perubahan</t>
  </si>
  <si>
    <t>Q-0213</t>
  </si>
  <si>
    <t>P3M-07</t>
  </si>
  <si>
    <t>Apakah luaran diverifikasi sebelum kegiatan dinyatakan selesai?</t>
  </si>
  <si>
    <t>Verifikasi luaran</t>
  </si>
  <si>
    <t>Q-0214</t>
  </si>
  <si>
    <t>P3M-08</t>
  </si>
  <si>
    <t>Apakah keterlambatan dan ketidaktercapaian luaran ditindaklanjuti?</t>
  </si>
  <si>
    <t>Tindak lanjut</t>
  </si>
  <si>
    <t>Q-0215</t>
  </si>
  <si>
    <t>P3M-09</t>
  </si>
  <si>
    <t>Apakah data penelitian, etik, HKI, dan publikasi dikendalikan?</t>
  </si>
  <si>
    <t>Dokumen etik/HKI</t>
  </si>
  <si>
    <t>Q-0216</t>
  </si>
  <si>
    <t>P3M-10</t>
  </si>
  <si>
    <t>Apakah evaluasi digunakan untuk memperbaiki skema berikutnya?</t>
  </si>
  <si>
    <t>Bukti perbaikan</t>
  </si>
  <si>
    <t>Q-0217</t>
  </si>
  <si>
    <t>P4MP-01</t>
  </si>
  <si>
    <t>Apakah kebijakan, manual, standar, dan formulir mutu dikendalikan?</t>
  </si>
  <si>
    <t>Dokumen SPMI</t>
  </si>
  <si>
    <t>Q-0218</t>
  </si>
  <si>
    <t>P4MP-02</t>
  </si>
  <si>
    <t>Apakah standar mutu mempunyai indikator, target, sumber data, dan PIC?</t>
  </si>
  <si>
    <t>6.2|9.1.1</t>
  </si>
  <si>
    <t>Matriks standar</t>
  </si>
  <si>
    <t>Q-0219</t>
  </si>
  <si>
    <t>P4MP-03</t>
  </si>
  <si>
    <t>Apakah perubahan regulasi diterjemahkan menjadi perubahan standar atau instrumen?</t>
  </si>
  <si>
    <t>6.3|7.5.3</t>
  </si>
  <si>
    <t>Bukti pemutakhiran</t>
  </si>
  <si>
    <t>Q-0220</t>
  </si>
  <si>
    <t>P4MP-04</t>
  </si>
  <si>
    <t>Apakah program penjaminan mutu tahunan ditetapkan dan disahkan?</t>
  </si>
  <si>
    <t>8.1|9.2</t>
  </si>
  <si>
    <t>Program mutu</t>
  </si>
  <si>
    <t>Q-0221</t>
  </si>
  <si>
    <t>P4MP-05</t>
  </si>
  <si>
    <t>Apakah auditor dipilih berdasarkan kompetensi dan independensi?</t>
  </si>
  <si>
    <t>7.2|9.2</t>
  </si>
  <si>
    <t>Daftar auditor</t>
  </si>
  <si>
    <t>Q-0222</t>
  </si>
  <si>
    <t>P4MP-06</t>
  </si>
  <si>
    <t>Apakah instrumen audit ditinjau sebelum digunakan?</t>
  </si>
  <si>
    <t>Q-0223</t>
  </si>
  <si>
    <t>P4MP-07</t>
  </si>
  <si>
    <t>Apakah pelaksanaan audit dipantau terhadap program?</t>
  </si>
  <si>
    <t>Monitoring audit</t>
  </si>
  <si>
    <t>Q-0224</t>
  </si>
  <si>
    <t>P4MP-08</t>
  </si>
  <si>
    <t>Apakah konsistensi klasifikasi dan rumusan temuan direviu?</t>
  </si>
  <si>
    <t>Reviu laporan</t>
  </si>
  <si>
    <t>Q-0225</t>
  </si>
  <si>
    <t>P4MP-09</t>
  </si>
  <si>
    <t>Apakah tindak lanjut temuan dipantau sampai verifikasi efektivitas?</t>
  </si>
  <si>
    <t>Monitoring CAPA</t>
  </si>
  <si>
    <t>Q-0226</t>
  </si>
  <si>
    <t>P4MP-10</t>
  </si>
  <si>
    <t>Apakah temuan berulang dianalisis secara institusional?</t>
  </si>
  <si>
    <t>Analisis tren</t>
  </si>
  <si>
    <t>Q-0227</t>
  </si>
  <si>
    <t>P4MP-11</t>
  </si>
  <si>
    <t>Apakah hasil audit menjadi masukan tinjauan manajemen?</t>
  </si>
  <si>
    <t>Q-0228</t>
  </si>
  <si>
    <t>P4MP-12</t>
  </si>
  <si>
    <t>Apakah efektivitas sistem penjaminan mutu dievaluasi?</t>
  </si>
  <si>
    <t>Evaluasi sistem</t>
  </si>
  <si>
    <t>Q-0229</t>
  </si>
  <si>
    <t>JUR-01</t>
  </si>
  <si>
    <t>JUR</t>
  </si>
  <si>
    <t>Apakah pembagian tugas pengelolaan administrasi dan sumber daya jurusan ditetapkan?</t>
  </si>
  <si>
    <t>Pembagian tugas</t>
  </si>
  <si>
    <t>Q-0230</t>
  </si>
  <si>
    <t>JUR-02</t>
  </si>
  <si>
    <t>Apakah kebutuhan pegawai, bahan, alat, ruang, dan anggaran disusun berdasarkan data?</t>
  </si>
  <si>
    <t>Q-0231</t>
  </si>
  <si>
    <t>JUR-03</t>
  </si>
  <si>
    <t>Apakah penggunaan ruang, laboratorium, bengkel, dan studio dijadwalkan serta dicatat?</t>
  </si>
  <si>
    <t>8.1|8.5.2</t>
  </si>
  <si>
    <t>Jadwal penggunaan</t>
  </si>
  <si>
    <t>Q-0232</t>
  </si>
  <si>
    <t>JUR-04</t>
  </si>
  <si>
    <t>Apakah bahan habis pakai dan persediaan dikendalikan?</t>
  </si>
  <si>
    <t>Kartu persediaan</t>
  </si>
  <si>
    <t>Q-0233</t>
  </si>
  <si>
    <t>JUR-05</t>
  </si>
  <si>
    <t>Apakah mesin, alat, dan perlengkapan mempunyai jadwal pemeliharaan?</t>
  </si>
  <si>
    <t>Jadwal pemeliharaan</t>
  </si>
  <si>
    <t>Q-0234</t>
  </si>
  <si>
    <t>JUR-06</t>
  </si>
  <si>
    <t>Apakah akses fasilitas berisiko dibatasi kepada pengguna berwenang?</t>
  </si>
  <si>
    <t>7.1.4|8.5.1</t>
  </si>
  <si>
    <t>Q-0235</t>
  </si>
  <si>
    <t>JUR-07</t>
  </si>
  <si>
    <t>Apakah SOP keselamatan, APD, rambu, dan tanggap darurat tersedia?</t>
  </si>
  <si>
    <t>SOP K3</t>
  </si>
  <si>
    <t>Q-0236</t>
  </si>
  <si>
    <t>JUR-08</t>
  </si>
  <si>
    <t>Apakah kecelakaan, kerusakan, dan kejadian nyaris celaka dicatat serta dianalisis?</t>
  </si>
  <si>
    <t>Q-0237</t>
  </si>
  <si>
    <t>JUR-09</t>
  </si>
  <si>
    <t>Apakah peminjaman alat dan penggunaan oleh pihak luar dikendalikan?</t>
  </si>
  <si>
    <t>8.5.3|8.5.2</t>
  </si>
  <si>
    <t>Log peminjaman</t>
  </si>
  <si>
    <t>Q-0238</t>
  </si>
  <si>
    <t>JUR-10</t>
  </si>
  <si>
    <t>Apakah kebersihan, keamanan, dan kelayakan fasilitas diperiksa berkala?</t>
  </si>
  <si>
    <t>7.1.4|9.1.1</t>
  </si>
  <si>
    <t>Checklist inspeksi</t>
  </si>
  <si>
    <t>Q-0239</t>
  </si>
  <si>
    <t>SPI-01</t>
  </si>
  <si>
    <t>Apakah program pengawasan disusun berdasarkan risiko dan prioritas institusi?</t>
  </si>
  <si>
    <t>6.1|9.2</t>
  </si>
  <si>
    <t>Program pengawasan</t>
  </si>
  <si>
    <t>Q-0240</t>
  </si>
  <si>
    <t>SPI-02</t>
  </si>
  <si>
    <t>Apakah ruang lingkup, tujuan, kriteria, jadwal, dan sumber daya pengawasan ditetapkan?</t>
  </si>
  <si>
    <t>Rencana penugasan</t>
  </si>
  <si>
    <t>Q-0241</t>
  </si>
  <si>
    <t>SPI-03</t>
  </si>
  <si>
    <t>Apakah anggota tim menyatakan independensi dan konflik kepentingan?</t>
  </si>
  <si>
    <t>Deklarasi independensi</t>
  </si>
  <si>
    <t>Q-0242</t>
  </si>
  <si>
    <t>SPI-04</t>
  </si>
  <si>
    <t>Apakah bukti pengawasan memadai, relevan, dan dapat ditelusuri?</t>
  </si>
  <si>
    <t>9.2|7.5.3</t>
  </si>
  <si>
    <t>Kertas kerja</t>
  </si>
  <si>
    <t>Q-0243</t>
  </si>
  <si>
    <t>SPI-05</t>
  </si>
  <si>
    <t>Apakah kertas kerja mendukung simpulan dan rekomendasi?</t>
  </si>
  <si>
    <t>Reviu kertas kerja</t>
  </si>
  <si>
    <t>Q-0244</t>
  </si>
  <si>
    <t>SPI-06</t>
  </si>
  <si>
    <t>Apakah laporan direviu sebelum disampaikan kepada Direktur?</t>
  </si>
  <si>
    <t>8.6|9.2</t>
  </si>
  <si>
    <t>Q-0245</t>
  </si>
  <si>
    <t>SPI-07</t>
  </si>
  <si>
    <t>Apakah unit diberi kesempatan memberikan tanggapan terhadap temuan?</t>
  </si>
  <si>
    <t>7.4|9.2</t>
  </si>
  <si>
    <t>Tanggapan auditee</t>
  </si>
  <si>
    <t>Q-0246</t>
  </si>
  <si>
    <t>SPI-08</t>
  </si>
  <si>
    <t>Apakah rekomendasi mempunyai PIC dan target penyelesaian?</t>
  </si>
  <si>
    <t>Rencana tindak lanjut</t>
  </si>
  <si>
    <t>Q-0247</t>
  </si>
  <si>
    <t>SPI-09</t>
  </si>
  <si>
    <t>Apakah tindak lanjut diverifikasi berdasarkan bukti objektif?</t>
  </si>
  <si>
    <t>Hasil verifikasi</t>
  </si>
  <si>
    <t>Q-0248</t>
  </si>
  <si>
    <t>SPI-10</t>
  </si>
  <si>
    <t>Apakah temuan berulang dan risiko sistemik dilaporkan kepada pimpinan?</t>
  </si>
  <si>
    <t>9.1.3|9.3</t>
  </si>
  <si>
    <t>Q-0249</t>
  </si>
  <si>
    <t>SPI-11</t>
  </si>
  <si>
    <t>Apakah akses terhadap dokumen pengawasan dibatasi?</t>
  </si>
  <si>
    <t>Q-0250</t>
  </si>
  <si>
    <t>SPI-12</t>
  </si>
  <si>
    <t>Apakah efektivitas program pengawasan dievaluasi setiap periode?</t>
  </si>
  <si>
    <t>Evaluasi program</t>
  </si>
  <si>
    <t>mapping_id</t>
  </si>
  <si>
    <t>mapping_type</t>
  </si>
  <si>
    <t>question_or_module_code</t>
  </si>
  <si>
    <t>unit_selector_type</t>
  </si>
  <si>
    <t>unit_selector_value</t>
  </si>
  <si>
    <t>include_exclude</t>
  </si>
  <si>
    <t>priority</t>
  </si>
  <si>
    <t>MAP-001</t>
  </si>
  <si>
    <t>MODULE</t>
  </si>
  <si>
    <t>INCLUDE</t>
  </si>
  <si>
    <t>MAP-002</t>
  </si>
  <si>
    <t>MAP-003</t>
  </si>
  <si>
    <t>MAP-004</t>
  </si>
  <si>
    <t>MAP-005</t>
  </si>
  <si>
    <t>MAP-006</t>
  </si>
  <si>
    <t>MAP-007</t>
  </si>
  <si>
    <t>MAP-008</t>
  </si>
  <si>
    <t>UNIT_TYPE</t>
  </si>
  <si>
    <t>MAP-009</t>
  </si>
  <si>
    <t>MAP-010</t>
  </si>
  <si>
    <t>MAP-011</t>
  </si>
  <si>
    <t>MAP-012</t>
  </si>
  <si>
    <t>MAP-013</t>
  </si>
  <si>
    <t>MAP-014</t>
  </si>
  <si>
    <t>MAP-015</t>
  </si>
  <si>
    <t>MAP-016</t>
  </si>
  <si>
    <t>MAP-017</t>
  </si>
  <si>
    <t>MAP-018</t>
  </si>
  <si>
    <t>MAP-019</t>
  </si>
  <si>
    <t>MAP-020</t>
  </si>
  <si>
    <t>MAP-021</t>
  </si>
  <si>
    <t>MAP-022</t>
  </si>
  <si>
    <t>MAP-023</t>
  </si>
  <si>
    <t>MAP-024</t>
  </si>
  <si>
    <t>MAP-025</t>
  </si>
  <si>
    <t>MAP-026</t>
  </si>
  <si>
    <t>2026-01-01</t>
  </si>
  <si>
    <t>MAP-027</t>
  </si>
  <si>
    <t>rule_group</t>
  </si>
  <si>
    <t>numeric_value</t>
  </si>
  <si>
    <t>criteria</t>
  </si>
  <si>
    <t>result_status</t>
  </si>
  <si>
    <t>risk_weight</t>
  </si>
  <si>
    <t>blocking_rule</t>
  </si>
  <si>
    <t>MATURITY</t>
  </si>
  <si>
    <t>M0</t>
  </si>
  <si>
    <t>Belum diterapkan</t>
  </si>
  <si>
    <t>Persyaratan belum diterapkan dan bukti tidak tersedia.</t>
  </si>
  <si>
    <t>NC_MAJOR</t>
  </si>
  <si>
    <t>M1</t>
  </si>
  <si>
    <t>Insidental</t>
  </si>
  <si>
    <t>Praktik dilakukan tidak konsisten dan belum terdokumentasi.</t>
  </si>
  <si>
    <t>NC_MINOR</t>
  </si>
  <si>
    <t>M2</t>
  </si>
  <si>
    <t>Ditetapkan parsial</t>
  </si>
  <si>
    <t>Proses telah ditetapkan tetapi penerapannya belum konsisten.</t>
  </si>
  <si>
    <t>OBSERVATION</t>
  </si>
  <si>
    <t>M3</t>
  </si>
  <si>
    <t>Diterapkan</t>
  </si>
  <si>
    <t>Proses diterapkan konsisten dan didukung bukti memadai.</t>
  </si>
  <si>
    <t>CONFORMITY</t>
  </si>
  <si>
    <t>M4</t>
  </si>
  <si>
    <t>Efektif dan diperbaiki</t>
  </si>
  <si>
    <t>Proses efektif, diukur, dievaluasi, dan ditingkatkan.</t>
  </si>
  <si>
    <t>E0</t>
  </si>
  <si>
    <t>Tidak ada</t>
  </si>
  <si>
    <t>Bukti tidak tersedia.</t>
  </si>
  <si>
    <t>E1</t>
  </si>
  <si>
    <t>Lemah</t>
  </si>
  <si>
    <t>Bukti berupa pernyataan atau dokumen tidak memadai.</t>
  </si>
  <si>
    <t>E2</t>
  </si>
  <si>
    <t>Cukup</t>
  </si>
  <si>
    <t>Bukti valid dan relevan tetapi mewakili sebagian periode.</t>
  </si>
  <si>
    <t>E3</t>
  </si>
  <si>
    <t>Kuat</t>
  </si>
  <si>
    <t>Bukti valid, lengkap, mutakhir, dan dapat ditelusuri.</t>
  </si>
  <si>
    <t>LOW</t>
  </si>
  <si>
    <t>Rendah</t>
  </si>
  <si>
    <t>Dampak terbatas dan mudah dipulihkan.</t>
  </si>
  <si>
    <t>Sedang</t>
  </si>
  <si>
    <t>Dampak terhadap layanan atau kepatuhan membutuhkan pengendalian.</t>
  </si>
  <si>
    <t>Tinggi</t>
  </si>
  <si>
    <t>Dampak signifikan pada kepatuhan, keuangan, keselamatan, data, atau layanan.</t>
  </si>
  <si>
    <t>STATUS</t>
  </si>
  <si>
    <t>Sesuai</t>
  </si>
  <si>
    <t>Persyaratan terpenuhi dan bukti memadai.</t>
  </si>
  <si>
    <t>OFI</t>
  </si>
  <si>
    <t>Peluang Perbaikan</t>
  </si>
  <si>
    <t>Tidak terdapat ketidaksesuaian, tetapi efektivitas dapat ditingkatkan.</t>
  </si>
  <si>
    <t>OBS</t>
  </si>
  <si>
    <t>Kondisi perlu dipantau karena berpotensi menjadi ketidaksesuaian.</t>
  </si>
  <si>
    <t>Ketidaksesuaian Minor</t>
  </si>
  <si>
    <t>Kegagalan terbatas atau penerapan tidak konsisten.</t>
  </si>
  <si>
    <t>Ketidaksesuaian Mayor</t>
  </si>
  <si>
    <t>Kegagalan sistemik atau persyaratan utama tidak dijalankan.</t>
  </si>
  <si>
    <t>NA</t>
  </si>
  <si>
    <t>Tidak Berlaku</t>
  </si>
  <si>
    <t>Tidak berlaku dengan alasan dan persetujuan auditor.</t>
  </si>
  <si>
    <t>evidence_type_code</t>
  </si>
  <si>
    <t>evidence_type_name</t>
  </si>
  <si>
    <t>category</t>
  </si>
  <si>
    <t>allowed_extensions</t>
  </si>
  <si>
    <t>retention_years</t>
  </si>
  <si>
    <t>confidentiality_default</t>
  </si>
  <si>
    <t>required_metadata</t>
  </si>
  <si>
    <t>POLICY</t>
  </si>
  <si>
    <t>Kebijakan/SK/Peraturan</t>
  </si>
  <si>
    <t>pdf|docx</t>
  </si>
  <si>
    <t>INTERNAL</t>
  </si>
  <si>
    <t>document_number|document_date|valid_from</t>
  </si>
  <si>
    <t>SOP</t>
  </si>
  <si>
    <t>SOP/Pedoman/Instruksi Kerja</t>
  </si>
  <si>
    <t>version|approval_date|valid_from</t>
  </si>
  <si>
    <t>RECORD</t>
  </si>
  <si>
    <t>Rekaman/Formulir Terisi</t>
  </si>
  <si>
    <t>pdf|xlsx|csv|jpg|png</t>
  </si>
  <si>
    <t>record_period|owner_unit</t>
  </si>
  <si>
    <t>Laporan</t>
  </si>
  <si>
    <t>pdf|docx|xlsx</t>
  </si>
  <si>
    <t>report_period|approval_status</t>
  </si>
  <si>
    <t>Log Sistem/Transaksi</t>
  </si>
  <si>
    <t>csv|xlsx|pdf|txt</t>
  </si>
  <si>
    <t>RESTRICTED</t>
  </si>
  <si>
    <t>system_name|period</t>
  </si>
  <si>
    <t>PHOTO</t>
  </si>
  <si>
    <t>Foto/Observasi</t>
  </si>
  <si>
    <t>MEDIA</t>
  </si>
  <si>
    <t>jpg|jpeg|png</t>
  </si>
  <si>
    <t>capture_date|location</t>
  </si>
  <si>
    <t>MINUTES</t>
  </si>
  <si>
    <t>Notulen/Berita Acara</t>
  </si>
  <si>
    <t>meeting_date|participants</t>
  </si>
  <si>
    <t>CONTRACT</t>
  </si>
  <si>
    <t>Kontrak/Perjanjian</t>
  </si>
  <si>
    <t>LEGAL</t>
  </si>
  <si>
    <t>pdf</t>
  </si>
  <si>
    <t>contract_number|valid_from|valid_to</t>
  </si>
  <si>
    <t>CERTIFICATE</t>
  </si>
  <si>
    <t>Sertifikat/Kalibrasi</t>
  </si>
  <si>
    <t>pdf|jpg|png</t>
  </si>
  <si>
    <t>issuer|valid_from|valid_to</t>
  </si>
  <si>
    <t>LINK</t>
  </si>
  <si>
    <t>Tautan Sistem/Dashboard</t>
  </si>
  <si>
    <t>url</t>
  </si>
  <si>
    <t>url|access_note</t>
  </si>
  <si>
    <t>option_value</t>
  </si>
  <si>
    <t>option_label</t>
  </si>
  <si>
    <t>color_hint</t>
  </si>
  <si>
    <t>Pengembangan</t>
  </si>
  <si>
    <t>PRODUCTION</t>
  </si>
  <si>
    <t>Produksi</t>
  </si>
  <si>
    <t>STORAGE_MODE</t>
  </si>
  <si>
    <t>Google Drive</t>
  </si>
  <si>
    <t>Aktif</t>
  </si>
  <si>
    <t>INACTIVE</t>
  </si>
  <si>
    <t>Tidak Aktif</t>
  </si>
  <si>
    <t>SUSPENDED</t>
  </si>
  <si>
    <t>Ditangguhkan</t>
  </si>
  <si>
    <t>AUDIT_TYPE</t>
  </si>
  <si>
    <t>REGULAR</t>
  </si>
  <si>
    <t>Audit Reguler</t>
  </si>
  <si>
    <t>SPECIAL</t>
  </si>
  <si>
    <t>Audit Khusus</t>
  </si>
  <si>
    <t>Audit Tindak Lanjut</t>
  </si>
  <si>
    <t>SCOPE_STATUS</t>
  </si>
  <si>
    <t>INCLUDED</t>
  </si>
  <si>
    <t>Termasuk</t>
  </si>
  <si>
    <t>EXCLUDED</t>
  </si>
  <si>
    <t>Dikecualikan</t>
  </si>
  <si>
    <t>AUDIT_TEAM_ROLE</t>
  </si>
  <si>
    <t>LEAD</t>
  </si>
  <si>
    <t>MEMBER</t>
  </si>
  <si>
    <t>Anggota Auditor</t>
  </si>
  <si>
    <t>OBSERVER</t>
  </si>
  <si>
    <t>Observer</t>
  </si>
  <si>
    <t>INDEPENDENCE_STATUS</t>
  </si>
  <si>
    <t>DECLARED</t>
  </si>
  <si>
    <t>Telah Menyatakan</t>
  </si>
  <si>
    <t>CONFLICT</t>
  </si>
  <si>
    <t>Konflik Kepentingan</t>
  </si>
  <si>
    <t>CLEARED</t>
  </si>
  <si>
    <t>Disetujui</t>
  </si>
  <si>
    <t>Belum Diisi</t>
  </si>
  <si>
    <t>Dalam Pengisian</t>
  </si>
  <si>
    <t>Diajukan</t>
  </si>
  <si>
    <t>Disahkan</t>
  </si>
  <si>
    <t>Dikembalikan</t>
  </si>
  <si>
    <t>Publik</t>
  </si>
  <si>
    <t>Internal</t>
  </si>
  <si>
    <t>Terbatas</t>
  </si>
  <si>
    <t>PENDING</t>
  </si>
  <si>
    <t>Belum Diperiksa</t>
  </si>
  <si>
    <t>VALID</t>
  </si>
  <si>
    <t>Valid</t>
  </si>
  <si>
    <t>INVALID</t>
  </si>
  <si>
    <t>Tidak Valid</t>
  </si>
  <si>
    <t>CLARIFICATION</t>
  </si>
  <si>
    <t>Perlu Klarifikasi</t>
  </si>
  <si>
    <t>NC Minor</t>
  </si>
  <si>
    <t>NC Mayor</t>
  </si>
  <si>
    <t>Draft</t>
  </si>
  <si>
    <t>Reviu</t>
  </si>
  <si>
    <t>Terbuka</t>
  </si>
  <si>
    <t>Reviu CAPA</t>
  </si>
  <si>
    <t>Pelaksanaan</t>
  </si>
  <si>
    <t>Verifikasi</t>
  </si>
  <si>
    <t>Ditutup</t>
  </si>
  <si>
    <t>VOID</t>
  </si>
  <si>
    <t>Dibatalkan</t>
  </si>
  <si>
    <t>FIVE_WHY</t>
  </si>
  <si>
    <t>5 Why</t>
  </si>
  <si>
    <t>FISHBONE</t>
  </si>
  <si>
    <t>Fishbone</t>
  </si>
  <si>
    <t>FAULT_TREE</t>
  </si>
  <si>
    <t>Fault Tree</t>
  </si>
  <si>
    <t>OTHER</t>
  </si>
  <si>
    <t>Metode Lain</t>
  </si>
  <si>
    <t>Berjalan</t>
  </si>
  <si>
    <t>READY_VERIFY</t>
  </si>
  <si>
    <t>Siap Verifikasi</t>
  </si>
  <si>
    <t>EFFECTIVE</t>
  </si>
  <si>
    <t>Efektif</t>
  </si>
  <si>
    <t>NOT_EFFECTIVE</t>
  </si>
  <si>
    <t>Belum Efektif</t>
  </si>
  <si>
    <t>EFFECTIVE_WITH_MONITORING</t>
  </si>
  <si>
    <t>Efektif dengan Pemantauan</t>
  </si>
  <si>
    <t>Setujui</t>
  </si>
  <si>
    <t>Kembalikan</t>
  </si>
  <si>
    <t>REJECT</t>
  </si>
  <si>
    <t>Tolak</t>
  </si>
  <si>
    <t>SEND_STATUS</t>
  </si>
  <si>
    <t>Menunggu</t>
  </si>
  <si>
    <t>Terkirim</t>
  </si>
  <si>
    <t>Gagal</t>
  </si>
  <si>
    <t>SKIPPED</t>
  </si>
  <si>
    <t>Dilewati</t>
  </si>
  <si>
    <t>Berhasil</t>
  </si>
  <si>
    <t>DENIED</t>
  </si>
  <si>
    <t>Ditolak</t>
  </si>
  <si>
    <t>0 - Belum diterapkan</t>
  </si>
  <si>
    <t>1 - Insidental</t>
  </si>
  <si>
    <t>2 - Ditetapkan parsial</t>
  </si>
  <si>
    <t>3 - Diterapkan</t>
  </si>
  <si>
    <t>4 - Efektif dan diperbaiki</t>
  </si>
  <si>
    <t>Draft Rencana</t>
  </si>
  <si>
    <t>Direncanakan</t>
  </si>
  <si>
    <t>Persiapan File Audit</t>
  </si>
  <si>
    <t>Penilaian Mandiri</t>
  </si>
  <si>
    <t>Desk Review</t>
  </si>
  <si>
    <t>Audit Lapangan</t>
  </si>
  <si>
    <t>Reviu Laporan</t>
  </si>
  <si>
    <t>AUDIT_FILE_STATUS</t>
  </si>
  <si>
    <t>Belum Dibuat</t>
  </si>
  <si>
    <t>Sudah Dibuat</t>
  </si>
  <si>
    <t>Diarsipkan</t>
  </si>
  <si>
    <t>Dibentuk dari Pertanyaan Default</t>
  </si>
  <si>
    <t>Ditelaah Auditor</t>
  </si>
  <si>
    <t>Menunggu Persetujuan P4MP</t>
  </si>
  <si>
    <t>Diterbitkan ke Auditee</t>
  </si>
  <si>
    <t>PDF Dibentuk</t>
  </si>
  <si>
    <t>Final</t>
  </si>
  <si>
    <t>SUPERSEDED</t>
  </si>
  <si>
    <t>Digantikan Versi Baru</t>
  </si>
  <si>
    <t>MAPPING_STATUS</t>
  </si>
  <si>
    <t>VERIFIED</t>
  </si>
  <si>
    <t>Terverifikasi</t>
  </si>
  <si>
    <t>PENDING_ARTICLE_MAPPING</t>
  </si>
  <si>
    <t>Menunggu Pemetaan Pasal</t>
  </si>
  <si>
    <t>PENDING_INTERNAL_STANDARD</t>
  </si>
  <si>
    <t>Menunggu Standar Internal</t>
  </si>
  <si>
    <t>trigger_event</t>
  </si>
  <si>
    <t>recipient_rule</t>
  </si>
  <si>
    <t>channel</t>
  </si>
  <si>
    <t>subject_template</t>
  </si>
  <si>
    <t>message_template</t>
  </si>
  <si>
    <t>delay_minutes</t>
  </si>
  <si>
    <t>repeat_rule</t>
  </si>
  <si>
    <t>AUDIT_STATUS_CHANGED</t>
  </si>
  <si>
    <t>to_status=PLANNED</t>
  </si>
  <si>
    <t>AUDIT_TEAM|UNIT_HEAD</t>
  </si>
  <si>
    <t>EMAIL</t>
  </si>
  <si>
    <t>Program audit {audit_code} telah dijadwalkan</t>
  </si>
  <si>
    <t>Audit {audit_title} untuk {unit_name} dijadwalkan {planned_start}–{planned_end}.</t>
  </si>
  <si>
    <t>NONE</t>
  </si>
  <si>
    <t>to_status=SELF_ASSESSMENT</t>
  </si>
  <si>
    <t>AUDITEE|UNIT_HEAD</t>
  </si>
  <si>
    <t>Penilaian mandiri dibuka</t>
  </si>
  <si>
    <t>Silakan mengisi penilaian mandiri audit {audit_code} sebelum {due_date}.</t>
  </si>
  <si>
    <t>DAILY_UNTIL_SUBMITTED</t>
  </si>
  <si>
    <t>SELF_ASSESSMENT_SUBMITTED</t>
  </si>
  <si>
    <t>UNIT_HEAD</t>
  </si>
  <si>
    <t>Penilaian mandiri menunggu pengesahan</t>
  </si>
  <si>
    <t>Penilaian mandiri {audit_code} telah diajukan.</t>
  </si>
  <si>
    <t>FINDING_STATUS_CHANGED</t>
  </si>
  <si>
    <t>to_status=OPEN</t>
  </si>
  <si>
    <t>FINDING_OWNER|UNIT_HEAD</t>
  </si>
  <si>
    <t>Temuan {finding_code} diterbitkan</t>
  </si>
  <si>
    <t>Temuan {finding_code} memerlukan analisis akar masalah dan tindakan koreksi sebelum {due_date}.</t>
  </si>
  <si>
    <t>WEEKLY_UNTIL_CAPA</t>
  </si>
  <si>
    <t>to_status=CAPA_REVIEW</t>
  </si>
  <si>
    <t>LEAD_AUDITOR</t>
  </si>
  <si>
    <t>CAPA menunggu reviu</t>
  </si>
  <si>
    <t>Rencana tindakan untuk {finding_code} telah diajukan.</t>
  </si>
  <si>
    <t>to_status=VERIFICATION</t>
  </si>
  <si>
    <t>VERIFIER</t>
  </si>
  <si>
    <t>Permintaan verifikasi {finding_code}</t>
  </si>
  <si>
    <t>Tindakan koreksi telah dinyatakan selesai dan menunggu verifikasi.</t>
  </si>
  <si>
    <t>NTF_OVERDUE_ACTION</t>
  </si>
  <si>
    <t>SCHEDULED_DAILY</t>
  </si>
  <si>
    <t>today&gt;target_date AND status not final</t>
  </si>
  <si>
    <t>ACTION_PIC|UNIT_HEAD|ADMIN_MUTU</t>
  </si>
  <si>
    <t>Tindakan koreksi melewati target</t>
  </si>
  <si>
    <t>Tindakan {action_code} untuk {finding_code} telah melewati target {target_date}.</t>
  </si>
  <si>
    <t>DAILY</t>
  </si>
  <si>
    <t>to_status=CLOSED</t>
  </si>
  <si>
    <t>UNIT_HEAD|LEAD_AUDITOR|ADMIN_MUTU</t>
  </si>
  <si>
    <t>Temuan {finding_code} ditutup</t>
  </si>
  <si>
    <t>Temuan telah diverifikasi efektif dan ditutup pada {closed_at}.</t>
  </si>
  <si>
    <t>AUDIT_FILE_CREATED</t>
  </si>
  <si>
    <t>file_status=CREATED</t>
  </si>
  <si>
    <t>ADMIN_MUTU|LEAD_AUDITOR</t>
  </si>
  <si>
    <t>IN_APP</t>
  </si>
  <si>
    <t>File audit {unit_name} {audit_year} telah dibuat</t>
  </si>
  <si>
    <t>Google Sheet {audit_file_name} serta folder EVIDENCE dan CETAK telah dibentuk.</t>
  </si>
  <si>
    <t>AUDIT_FILE_ACTIVATED</t>
  </si>
  <si>
    <t>file_status=ACTIVE</t>
  </si>
  <si>
    <t>AUDIT_TEAM</t>
  </si>
  <si>
    <t>File audit siap digunakan</t>
  </si>
  <si>
    <t>File audit {audit_file_name} telah aktif.</t>
  </si>
  <si>
    <t>AUDIT_FILE_STATUS_CHANGED</t>
  </si>
  <si>
    <t>file_status=ARCHIVED</t>
  </si>
  <si>
    <t>ADMIN_MUTU|UNIT_HEAD</t>
  </si>
  <si>
    <t>File audit diarsipkan</t>
  </si>
  <si>
    <t>File audit {audit_file_name} telah ditutup dan diarsipkan.</t>
  </si>
  <si>
    <t>to_status=FILE_PREPARATION</t>
  </si>
  <si>
    <t>SEKRETARIAT|ADMIN_MUTU</t>
  </si>
  <si>
    <t>Siapkan file audit unit-tahun</t>
  </si>
  <si>
    <t>Program audit {audit_code} memerlukan file {unit_slug}_{audit_year}.</t>
  </si>
  <si>
    <t>INSTRUMENT_REVIEW_STARTED</t>
  </si>
  <si>
    <t>instrument_status=AUDITOR_REVIEW</t>
  </si>
  <si>
    <t>Periksa seluruh pertanyaan default pada audit {audit_code}.</t>
  </si>
  <si>
    <t>DAILY_UNTIL_REVIEWED</t>
  </si>
  <si>
    <t>INSTRUMENT_CHANGE_SUBMITTED</t>
  </si>
  <si>
    <t>P4MP_VERIFIER</t>
  </si>
  <si>
    <t>Perubahan instrumen menunggu persetujuan</t>
  </si>
  <si>
    <t>Perubahan instrumen audit {audit_code} harus ditelaah sebelum diterbitkan.</t>
  </si>
  <si>
    <t>DAILY_UNTIL_DECIDED</t>
  </si>
  <si>
    <t>INSTRUMENT_APPROVED</t>
  </si>
  <si>
    <t>instrument_status=APPROVED</t>
  </si>
  <si>
    <t>LEAD_AUDITOR|ADMIN_MUTU</t>
  </si>
  <si>
    <t>Perubahan instrumen disetujui</t>
  </si>
  <si>
    <t>Instrumen audit {audit_code} siap diterbitkan.</t>
  </si>
  <si>
    <t>INSTRUMENT_RETURNED</t>
  </si>
  <si>
    <t>instrument_status=RETURNED</t>
  </si>
  <si>
    <t>Instrumen dikembalikan</t>
  </si>
  <si>
    <t>Perbaiki instrumen sesuai catatan Verifikator/P4MP.</t>
  </si>
  <si>
    <t>DAILY_UNTIL_RESUBMITTED</t>
  </si>
  <si>
    <t>resubmitted=true</t>
  </si>
  <si>
    <t>Instrumen diajukan kembali</t>
  </si>
  <si>
    <t>Instrumen audit {audit_code} telah diperbaiki dan diajukan kembali.</t>
  </si>
  <si>
    <t>INSTRUMENT_PUBLISHED</t>
  </si>
  <si>
    <t>AUDITEE|UNIT_HEAD|AUDIT_TEAM</t>
  </si>
  <si>
    <t>Instrumen audit telah diterbitkan</t>
  </si>
  <si>
    <t>Auditee dapat mulai mengisi jawaban pada audit {audit_code}.</t>
  </si>
  <si>
    <t>PRINT_GENERATED</t>
  </si>
  <si>
    <t>print_status=GENERATED</t>
  </si>
  <si>
    <t>ADMIN_MUTU|APPROVER</t>
  </si>
  <si>
    <t>Dokumen cetak telah dibentuk</t>
  </si>
  <si>
    <t>Dokumen {document_name} versi {version} disimpan pada folder CETAK.</t>
  </si>
  <si>
    <t>PRINT_STATUS_CHANGED</t>
  </si>
  <si>
    <t>print_status=FINAL</t>
  </si>
  <si>
    <t>AUDIT_TEAM|UNIT_HEAD|ADMIN_MUTU</t>
  </si>
  <si>
    <t>Dokumen audit final tersedia</t>
  </si>
  <si>
    <t>Dokumen {document_name} telah disahkan dan tersedia pada folder CETAK.</t>
  </si>
  <si>
    <t>event_code</t>
  </si>
  <si>
    <t>event_name</t>
  </si>
  <si>
    <t>write_log</t>
  </si>
  <si>
    <t>invalidate_cache_keys</t>
  </si>
  <si>
    <t>allowed_source</t>
  </si>
  <si>
    <t>Sistem diinisialisasi</t>
  </si>
  <si>
    <t>ADMIN</t>
  </si>
  <si>
    <t>Menetapkan ID sistem dan memeriksa konfigurasi.</t>
  </si>
  <si>
    <t>MASTER_PUBLISHED</t>
  </si>
  <si>
    <t>Master dipublikasikan</t>
  </si>
  <si>
    <t>MASTER|QUESTION|UNIT</t>
  </si>
  <si>
    <t>Mengaktifkan versi master.</t>
  </si>
  <si>
    <t>AUDIT_CREATED</t>
  </si>
  <si>
    <t>Audit dibuat</t>
  </si>
  <si>
    <t>AUDIT_LIST</t>
  </si>
  <si>
    <t>UI|API</t>
  </si>
  <si>
    <t>Membuat record audit dan kode tampilan.</t>
  </si>
  <si>
    <t>Status audit berubah</t>
  </si>
  <si>
    <t>AUDIT|DASHBOARD</t>
  </si>
  <si>
    <t>Menjalankan validasi transisi dan notifikasi.</t>
  </si>
  <si>
    <t>EVIDENCE_UPLOADED</t>
  </si>
  <si>
    <t>Bukti diunggah</t>
  </si>
  <si>
    <t>Menyimpan file di folder EVIDENCE dan metadata pada tab 03_BUKTI file audit unit-tahun.</t>
  </si>
  <si>
    <t>FINDING_CREATED</t>
  </si>
  <si>
    <t>Temuan dibuat</t>
  </si>
  <si>
    <t>FINDING|DASHBOARD</t>
  </si>
  <si>
    <t>Membuat temuan dan nomor tampilan.</t>
  </si>
  <si>
    <t>CAPA_SUBMITTED</t>
  </si>
  <si>
    <t>CAPA diajukan</t>
  </si>
  <si>
    <t>CAPA|FINDING</t>
  </si>
  <si>
    <t>Mengirim rencana tindakan untuk reviu.</t>
  </si>
  <si>
    <t>VERIFICATION_COMPLETED</t>
  </si>
  <si>
    <t>Verifikasi selesai</t>
  </si>
  <si>
    <t>CAPA|FINDING|DASHBOARD</t>
  </si>
  <si>
    <t>Memperbarui efektivitas dan status temuan.</t>
  </si>
  <si>
    <t>Proses harian</t>
  </si>
  <si>
    <t>NOTIFICATION|DASHBOARD</t>
  </si>
  <si>
    <t>TRIGGER</t>
  </si>
  <si>
    <t>Memeriksa jatuh tempo, notifikasi, dan cache.</t>
  </si>
  <si>
    <t>File audit unit-tahun dibuat</t>
  </si>
  <si>
    <t>AUDIT_FILE_REGISTRY</t>
  </si>
  <si>
    <t>Membuat folder unit-tahun, Google Sheet transaksi, EVIDENCE, dan CETAK.</t>
  </si>
  <si>
    <t>File audit diaktifkan</t>
  </si>
  <si>
    <t>AUDIT_FILE_REGISTRY|DASHBOARD</t>
  </si>
  <si>
    <t>Menyatakan struktur file audit siap digunakan.</t>
  </si>
  <si>
    <t>INSTRUMENT_GENERATED</t>
  </si>
  <si>
    <t>Instrumen audit dibentuk</t>
  </si>
  <si>
    <t>Menyalin pertanyaan default ke tab 01_INSTRUMEN file audit.</t>
  </si>
  <si>
    <t>Telaah instrumen dimulai</t>
  </si>
  <si>
    <t>Membuka instrumen untuk auditor yang ditugaskan.</t>
  </si>
  <si>
    <t>Perubahan instrumen diajukan</t>
  </si>
  <si>
    <t>INSTRUMENT|APPROVAL</t>
  </si>
  <si>
    <t>Mengirim instrumen berubah kepada Verifikator/P4MP.</t>
  </si>
  <si>
    <t>Mencatat keputusan pada 08_PERSETUJUAN.</t>
  </si>
  <si>
    <t>Perubahan instrumen dikembalikan</t>
  </si>
  <si>
    <t>Mengembalikan instrumen beserta catatan Verifikator/P4MP.</t>
  </si>
  <si>
    <t>Instrumen diterbitkan</t>
  </si>
  <si>
    <t>INSTRUMENT|SELF_ASSESSMENT</t>
  </si>
  <si>
    <t>Membentuk pertanyaan terbit dan membuka akses auditee.</t>
  </si>
  <si>
    <t>Dokumen PDF dibentuk</t>
  </si>
  <si>
    <t>Menyimpan versi PDF pada folder CETAK dan mencatatnya pada 11_CETAK_REGISTER.</t>
  </si>
  <si>
    <t>USER_STATUS_CHANGED</t>
  </si>
  <si>
    <t>Status akun berubah</t>
  </si>
  <si>
    <t>Mencatat aktivasi, nonaktivasi, atau penguncian akun.</t>
  </si>
  <si>
    <t>map_id</t>
  </si>
  <si>
    <t>internal_standard_code</t>
  </si>
  <si>
    <t>internal_standard_name</t>
  </si>
  <si>
    <t>permendiktisaintek_39_ref</t>
  </si>
  <si>
    <t>verified_by</t>
  </si>
  <si>
    <t>verified_at</t>
  </si>
  <si>
    <t>MAP-0002</t>
  </si>
  <si>
    <t>SI-GOV-01</t>
  </si>
  <si>
    <t>Standar Tata Kelola, Mandat, dan Akuntabilitas Unit</t>
  </si>
  <si>
    <t>Pasal 31-34; Pasal 64; Pasal 65 ayat (4); Pasal 67-68</t>
  </si>
  <si>
    <t>COMPLETE</t>
  </si>
  <si>
    <t>SYSTEM_MATRIX</t>
  </si>
  <si>
    <t>MAP-0003</t>
  </si>
  <si>
    <t>MAP-0004</t>
  </si>
  <si>
    <t>MAP-0005</t>
  </si>
  <si>
    <t>MAP-0006</t>
  </si>
  <si>
    <t>MAP-0007</t>
  </si>
  <si>
    <t>MAP-0008</t>
  </si>
  <si>
    <t>MAP-0009</t>
  </si>
  <si>
    <t>MAP-0010</t>
  </si>
  <si>
    <t>MAP-0011</t>
  </si>
  <si>
    <t>SI-DOC-01</t>
  </si>
  <si>
    <t>Standar Pengendalian Dokumen, Rekaman, dan Data</t>
  </si>
  <si>
    <t>Pasal 33 ayat (2) huruf c; Pasal 49; Pasal 66; Pasal 68 ayat (2)</t>
  </si>
  <si>
    <t>MAP-0012</t>
  </si>
  <si>
    <t>MAP-0013</t>
  </si>
  <si>
    <t>MAP-0014</t>
  </si>
  <si>
    <t>MAP-0015</t>
  </si>
  <si>
    <t>MAP-0016</t>
  </si>
  <si>
    <t>MAP-0017</t>
  </si>
  <si>
    <t>MAP-0018</t>
  </si>
  <si>
    <t>MAP-0019</t>
  </si>
  <si>
    <t>MAP-0020</t>
  </si>
  <si>
    <t>MAP-0021</t>
  </si>
  <si>
    <t>SI-HR-01</t>
  </si>
  <si>
    <t>Standar Kecukupan, Kompetensi, dan Kesadaran Personel Unit</t>
  </si>
  <si>
    <t>Pasal 46-47; Pasal 65 ayat (4); Pasal 67</t>
  </si>
  <si>
    <t>MAP-0022</t>
  </si>
  <si>
    <t>MAP-0023</t>
  </si>
  <si>
    <t>MAP-0024</t>
  </si>
  <si>
    <t>MAP-0025</t>
  </si>
  <si>
    <t>MAP-0026</t>
  </si>
  <si>
    <t>MAP-0027</t>
  </si>
  <si>
    <t>MAP-0028</t>
  </si>
  <si>
    <t>MAP-0029</t>
  </si>
  <si>
    <t>SI-SRV-01</t>
  </si>
  <si>
    <t>Standar Pengelolaan Layanan dan Kepuasan Pengguna</t>
  </si>
  <si>
    <t>Pasal 33 ayat (2) huruf a dan c; Pasal 65 ayat (4); Pasal 67</t>
  </si>
  <si>
    <t>MAP-0030</t>
  </si>
  <si>
    <t>MAP-0031</t>
  </si>
  <si>
    <t>MAP-0032</t>
  </si>
  <si>
    <t>MAP-0033</t>
  </si>
  <si>
    <t>MAP-0034</t>
  </si>
  <si>
    <t>MAP-0035</t>
  </si>
  <si>
    <t>MAP-0036</t>
  </si>
  <si>
    <t>MAP-0037</t>
  </si>
  <si>
    <t>MAP-0038</t>
  </si>
  <si>
    <t>MAP-0039</t>
  </si>
  <si>
    <t>SI-RES-01</t>
  </si>
  <si>
    <t>Standar Sarana, Keselamatan, Lingkungan Kerja, dan Kontinuitas</t>
  </si>
  <si>
    <t>Pasal 48-50; Pasal 65 ayat (4); Pasal 67</t>
  </si>
  <si>
    <t>MAP-0040</t>
  </si>
  <si>
    <t>MAP-0041</t>
  </si>
  <si>
    <t>MAP-0042</t>
  </si>
  <si>
    <t>MAP-0043</t>
  </si>
  <si>
    <t>MAP-0044</t>
  </si>
  <si>
    <t>MAP-0045</t>
  </si>
  <si>
    <t>MAP-0046</t>
  </si>
  <si>
    <t>MAP-0047</t>
  </si>
  <si>
    <t>SI-PBJ-01</t>
  </si>
  <si>
    <t>Standar Pengadaan dan Pengendalian Penyedia Eksternal</t>
  </si>
  <si>
    <t>Pasal 31; Pasal 48; Pasal 51; Pasal 67</t>
  </si>
  <si>
    <t>MAP-0048</t>
  </si>
  <si>
    <t>MAP-0049</t>
  </si>
  <si>
    <t>MAP-0050</t>
  </si>
  <si>
    <t>MAP-0051</t>
  </si>
  <si>
    <t>MAP-0052</t>
  </si>
  <si>
    <t>MAP-0053</t>
  </si>
  <si>
    <t>SI-EVL-01</t>
  </si>
  <si>
    <t>Standar Pengukuran, Evaluasi, Ketidaksesuaian, dan Perbaikan</t>
  </si>
  <si>
    <t>Pasal 65-68</t>
  </si>
  <si>
    <t>MAP-0054</t>
  </si>
  <si>
    <t>MAP-0055</t>
  </si>
  <si>
    <t>MAP-0056</t>
  </si>
  <si>
    <t>MAP-0057</t>
  </si>
  <si>
    <t>MAP-0058</t>
  </si>
  <si>
    <t>MAP-0059</t>
  </si>
  <si>
    <t>MAP-0060</t>
  </si>
  <si>
    <t>MAP-0061</t>
  </si>
  <si>
    <t>MAP-0062</t>
  </si>
  <si>
    <t>MAP-0063</t>
  </si>
  <si>
    <t>SI-PIM-01</t>
  </si>
  <si>
    <t>Standar Kepemimpinan dan Tinjauan Manajemen</t>
  </si>
  <si>
    <t>Pasal 31-34; Pasal 64; Pasal 67-68</t>
  </si>
  <si>
    <t>MAP-0064</t>
  </si>
  <si>
    <t>MAP-0065</t>
  </si>
  <si>
    <t>MAP-0066</t>
  </si>
  <si>
    <t>MAP-0067</t>
  </si>
  <si>
    <t>MAP-0068</t>
  </si>
  <si>
    <t>MAP-0069</t>
  </si>
  <si>
    <t>MAP-0070</t>
  </si>
  <si>
    <t>MAP-0071</t>
  </si>
  <si>
    <t>SI-REN-01</t>
  </si>
  <si>
    <t>Standar Perencanaan, Program, Anggaran, dan Evaluasi Kinerja</t>
  </si>
  <si>
    <t>Pasal 31-32; Pasal 51 ayat (4); Pasal 67-68</t>
  </si>
  <si>
    <t>MAP-0072</t>
  </si>
  <si>
    <t>MAP-0073</t>
  </si>
  <si>
    <t>MAP-0074</t>
  </si>
  <si>
    <t>MAP-0075</t>
  </si>
  <si>
    <t>MAP-0076</t>
  </si>
  <si>
    <t>MAP-0077</t>
  </si>
  <si>
    <t>MAP-0078</t>
  </si>
  <si>
    <t>MAP-0079</t>
  </si>
  <si>
    <t>SI-KEU-01</t>
  </si>
  <si>
    <t>Standar Pengelolaan Keuangan</t>
  </si>
  <si>
    <t>Pasal 51; Pasal 65 ayat (4); Pasal 67</t>
  </si>
  <si>
    <t>MAP-0080</t>
  </si>
  <si>
    <t>MAP-0081</t>
  </si>
  <si>
    <t>MAP-0082</t>
  </si>
  <si>
    <t>MAP-0083</t>
  </si>
  <si>
    <t>MAP-0084</t>
  </si>
  <si>
    <t>MAP-0085</t>
  </si>
  <si>
    <t>MAP-0086</t>
  </si>
  <si>
    <t>MAP-0087</t>
  </si>
  <si>
    <t>MAP-0088</t>
  </si>
  <si>
    <t>MAP-0089</t>
  </si>
  <si>
    <t>MAP-0090</t>
  </si>
  <si>
    <t>MAP-0091</t>
  </si>
  <si>
    <t>SI-SDM-01</t>
  </si>
  <si>
    <t>Standar Pengelolaan Kepegawaian</t>
  </si>
  <si>
    <t>MAP-0092</t>
  </si>
  <si>
    <t>MAP-0093</t>
  </si>
  <si>
    <t>MAP-0094</t>
  </si>
  <si>
    <t>MAP-0095</t>
  </si>
  <si>
    <t>MAP-0096</t>
  </si>
  <si>
    <t>MAP-0097</t>
  </si>
  <si>
    <t>MAP-0098</t>
  </si>
  <si>
    <t>MAP-0099</t>
  </si>
  <si>
    <t>MAP-0100</t>
  </si>
  <si>
    <t>MAP-0101</t>
  </si>
  <si>
    <t>SI-ADM-01</t>
  </si>
  <si>
    <t>Standar Administrasi Umum, Hukum, Organisasi, dan Kearsipan</t>
  </si>
  <si>
    <t>Pasal 31-34; Pasal 65 ayat (4); Pasal 67</t>
  </si>
  <si>
    <t>MAP-0102</t>
  </si>
  <si>
    <t>MAP-0103</t>
  </si>
  <si>
    <t>MAP-0104</t>
  </si>
  <si>
    <t>MAP-0105</t>
  </si>
  <si>
    <t>MAP-0106</t>
  </si>
  <si>
    <t>MAP-0107</t>
  </si>
  <si>
    <t>MAP-0108</t>
  </si>
  <si>
    <t>MAP-0109</t>
  </si>
  <si>
    <t>MAP-0110</t>
  </si>
  <si>
    <t>MAP-0111</t>
  </si>
  <si>
    <t>SI-BMN-01</t>
  </si>
  <si>
    <t>Standar Pengelolaan BMN dan Fasilitas</t>
  </si>
  <si>
    <t>Pasal 48; Pasal 65 ayat (4); Pasal 67</t>
  </si>
  <si>
    <t>MAP-0112</t>
  </si>
  <si>
    <t>MAP-0113</t>
  </si>
  <si>
    <t>MAP-0114</t>
  </si>
  <si>
    <t>MAP-0115</t>
  </si>
  <si>
    <t>MAP-0116</t>
  </si>
  <si>
    <t>MAP-0117</t>
  </si>
  <si>
    <t>MAP-0118</t>
  </si>
  <si>
    <t>MAP-0119</t>
  </si>
  <si>
    <t>MAP-0120</t>
  </si>
  <si>
    <t>MAP-0121</t>
  </si>
  <si>
    <t>SI-AKM-01</t>
  </si>
  <si>
    <t>Standar Administrasi Akademik, Kemahasiswaan, Data, dan Alumni</t>
  </si>
  <si>
    <t>Pasal 23; Pasal 33 ayat (2) huruf a dan c; Pasal 65 ayat (4); Pasal 66</t>
  </si>
  <si>
    <t>MAP-0122</t>
  </si>
  <si>
    <t>MAP-0123</t>
  </si>
  <si>
    <t>MAP-0124</t>
  </si>
  <si>
    <t>MAP-0125</t>
  </si>
  <si>
    <t>MAP-0126</t>
  </si>
  <si>
    <t>MAP-0127</t>
  </si>
  <si>
    <t>MAP-0128</t>
  </si>
  <si>
    <t>MAP-0129</t>
  </si>
  <si>
    <t>MAP-0130</t>
  </si>
  <si>
    <t>MAP-0131</t>
  </si>
  <si>
    <t>MAP-0132</t>
  </si>
  <si>
    <t>MAP-0133</t>
  </si>
  <si>
    <t>SI-KER-01</t>
  </si>
  <si>
    <t>Standar Kerja Sama, Humas, Informasi Publik, dan Pengaduan</t>
  </si>
  <si>
    <t>Pasal 33 ayat (2) huruf a dan c; Pasal 45; Pasal 55 ayat (3) huruf c; Pasal 61 ayat (2) huruf c; Pasal 67</t>
  </si>
  <si>
    <t>MAP-0134</t>
  </si>
  <si>
    <t>MAP-0135</t>
  </si>
  <si>
    <t>MAP-0136</t>
  </si>
  <si>
    <t>MAP-0137</t>
  </si>
  <si>
    <t>MAP-0138</t>
  </si>
  <si>
    <t>MAP-0139</t>
  </si>
  <si>
    <t>MAP-0140</t>
  </si>
  <si>
    <t>MAP-0141</t>
  </si>
  <si>
    <t>MAP-0142</t>
  </si>
  <si>
    <t>MAP-0143</t>
  </si>
  <si>
    <t>MAP-0144</t>
  </si>
  <si>
    <t>MAP-0145</t>
  </si>
  <si>
    <t>SI-TI-01</t>
  </si>
  <si>
    <t>Standar Tata Kelola TIK, Sistem Informasi, Data, dan Keamanan</t>
  </si>
  <si>
    <t>Pasal 33 ayat (2) huruf c; Pasal 48 ayat (3); Pasal 49; Pasal 57 ayat (2) huruf c; Pasal 63 ayat (2) huruf c; Pasal 66</t>
  </si>
  <si>
    <t>MAP-0146</t>
  </si>
  <si>
    <t>MAP-0147</t>
  </si>
  <si>
    <t>MAP-0148</t>
  </si>
  <si>
    <t>MAP-0149</t>
  </si>
  <si>
    <t>MAP-0150</t>
  </si>
  <si>
    <t>MAP-0151</t>
  </si>
  <si>
    <t>MAP-0152</t>
  </si>
  <si>
    <t>MAP-0153</t>
  </si>
  <si>
    <t>MAP-0154</t>
  </si>
  <si>
    <t>MAP-0155</t>
  </si>
  <si>
    <t>MAP-0156</t>
  </si>
  <si>
    <t>MAP-0157</t>
  </si>
  <si>
    <t>MAP-0158</t>
  </si>
  <si>
    <t>MAP-0159</t>
  </si>
  <si>
    <t>SI-PER-01</t>
  </si>
  <si>
    <t>Standar Layanan Perpustakaan dan Sumber Pembelajaran</t>
  </si>
  <si>
    <t>Pasal 48 ayat (3) huruf b; Pasal 50; Pasal 67</t>
  </si>
  <si>
    <t>MAP-0160</t>
  </si>
  <si>
    <t>MAP-0161</t>
  </si>
  <si>
    <t>MAP-0162</t>
  </si>
  <si>
    <t>MAP-0163</t>
  </si>
  <si>
    <t>MAP-0164</t>
  </si>
  <si>
    <t>MAP-0165</t>
  </si>
  <si>
    <t>MAP-0166</t>
  </si>
  <si>
    <t>MAP-0167</t>
  </si>
  <si>
    <t>MAP-0168</t>
  </si>
  <si>
    <t>MAP-0169</t>
  </si>
  <si>
    <t>SI-MES-01</t>
  </si>
  <si>
    <t>Standar Pemeliharaan Mesin dan Peralatan</t>
  </si>
  <si>
    <t>Pasal 48; Pasal 67</t>
  </si>
  <si>
    <t>MAP-0170</t>
  </si>
  <si>
    <t>MAP-0171</t>
  </si>
  <si>
    <t>MAP-0172</t>
  </si>
  <si>
    <t>MAP-0173</t>
  </si>
  <si>
    <t>MAP-0174</t>
  </si>
  <si>
    <t>MAP-0175</t>
  </si>
  <si>
    <t>MAP-0176</t>
  </si>
  <si>
    <t>MAP-0177</t>
  </si>
  <si>
    <t>MAP-0178</t>
  </si>
  <si>
    <t>MAP-0179</t>
  </si>
  <si>
    <t>SI-BHS-01</t>
  </si>
  <si>
    <t>Standar Layanan Bahasa dan Pengujian</t>
  </si>
  <si>
    <t>Pasal 33 ayat (2) huruf a; Pasal 46-48; Pasal 67</t>
  </si>
  <si>
    <t>MAP-0180</t>
  </si>
  <si>
    <t>MAP-0181</t>
  </si>
  <si>
    <t>MAP-0182</t>
  </si>
  <si>
    <t>MAP-0183</t>
  </si>
  <si>
    <t>MAP-0184</t>
  </si>
  <si>
    <t>MAP-0185</t>
  </si>
  <si>
    <t>MAP-0186</t>
  </si>
  <si>
    <t>MAP-0187</t>
  </si>
  <si>
    <t>SI-KAR-01</t>
  </si>
  <si>
    <t>Standar Karier, Hubungan Industri, dan Kewirausahaan</t>
  </si>
  <si>
    <t>Pasal 33 ayat (2) huruf a; Pasal 45; Pasal 65 ayat (4); Pasal 67</t>
  </si>
  <si>
    <t>MAP-0188</t>
  </si>
  <si>
    <t>MAP-0189</t>
  </si>
  <si>
    <t>MAP-0190</t>
  </si>
  <si>
    <t>MAP-0191</t>
  </si>
  <si>
    <t>MAP-0192</t>
  </si>
  <si>
    <t>MAP-0193</t>
  </si>
  <si>
    <t>MAP-0194</t>
  </si>
  <si>
    <t>MAP-0195</t>
  </si>
  <si>
    <t>MAP-0196</t>
  </si>
  <si>
    <t>MAP-0197</t>
  </si>
  <si>
    <t>SI-UKM-01</t>
  </si>
  <si>
    <t>Standar Layanan Uji Kompetensi</t>
  </si>
  <si>
    <t>MAP-0198</t>
  </si>
  <si>
    <t>MAP-0199</t>
  </si>
  <si>
    <t>MAP-0200</t>
  </si>
  <si>
    <t>MAP-0201</t>
  </si>
  <si>
    <t>MAP-0202</t>
  </si>
  <si>
    <t>MAP-0203</t>
  </si>
  <si>
    <t>MAP-0204</t>
  </si>
  <si>
    <t>MAP-0205</t>
  </si>
  <si>
    <t>MAP-0206</t>
  </si>
  <si>
    <t>MAP-0207</t>
  </si>
  <si>
    <t>SI-P3M-01</t>
  </si>
  <si>
    <t>Standar Pengelolaan Penelitian dan Pengabdian kepada Masyarakat</t>
  </si>
  <si>
    <t>Pasal 52-63; Pasal 64; Pasal 67-68</t>
  </si>
  <si>
    <t>MAP-0208</t>
  </si>
  <si>
    <t>MAP-0209</t>
  </si>
  <si>
    <t>MAP-0210</t>
  </si>
  <si>
    <t>MAP-0211</t>
  </si>
  <si>
    <t>MAP-0212</t>
  </si>
  <si>
    <t>MAP-0213</t>
  </si>
  <si>
    <t>MAP-0214</t>
  </si>
  <si>
    <t>MAP-0215</t>
  </si>
  <si>
    <t>MAP-0216</t>
  </si>
  <si>
    <t>MAP-0217</t>
  </si>
  <si>
    <t>SI-SPMI-01</t>
  </si>
  <si>
    <t>Standar SPMI, Audit Mutu Internal, dan Peningkatan Mutu</t>
  </si>
  <si>
    <t>Pasal 64-69</t>
  </si>
  <si>
    <t>MAP-0218</t>
  </si>
  <si>
    <t>MAP-0219</t>
  </si>
  <si>
    <t>MAP-0220</t>
  </si>
  <si>
    <t>MAP-0221</t>
  </si>
  <si>
    <t>MAP-0222</t>
  </si>
  <si>
    <t>MAP-0223</t>
  </si>
  <si>
    <t>MAP-0224</t>
  </si>
  <si>
    <t>MAP-0225</t>
  </si>
  <si>
    <t>MAP-0226</t>
  </si>
  <si>
    <t>MAP-0227</t>
  </si>
  <si>
    <t>MAP-0228</t>
  </si>
  <si>
    <t>MAP-0229</t>
  </si>
  <si>
    <t>SI-JUR-01</t>
  </si>
  <si>
    <t>Standar Tata Kelola Administrasi dan Fasilitas Jurusan</t>
  </si>
  <si>
    <t>Pasal 31-34; Pasal 46-50; Pasal 65 ayat (4); Pasal 67-68</t>
  </si>
  <si>
    <t>MAP-0230</t>
  </si>
  <si>
    <t>MAP-0231</t>
  </si>
  <si>
    <t>MAP-0232</t>
  </si>
  <si>
    <t>MAP-0233</t>
  </si>
  <si>
    <t>MAP-0234</t>
  </si>
  <si>
    <t>MAP-0235</t>
  </si>
  <si>
    <t>MAP-0236</t>
  </si>
  <si>
    <t>MAP-0237</t>
  </si>
  <si>
    <t>MAP-0238</t>
  </si>
  <si>
    <t>MAP-0239</t>
  </si>
  <si>
    <t>SI-SPI-01</t>
  </si>
  <si>
    <t>Standar Pengawasan Internal Nonakademik</t>
  </si>
  <si>
    <t>Pasal 65 ayat (4); Pasal 66-68</t>
  </si>
  <si>
    <t>MAP-0240</t>
  </si>
  <si>
    <t>MAP-0241</t>
  </si>
  <si>
    <t>MAP-0242</t>
  </si>
  <si>
    <t>MAP-0243</t>
  </si>
  <si>
    <t>MAP-0244</t>
  </si>
  <si>
    <t>MAP-0245</t>
  </si>
  <si>
    <t>MAP-0246</t>
  </si>
  <si>
    <t>MAP-0247</t>
  </si>
  <si>
    <t>MAP-0248</t>
  </si>
  <si>
    <t>MAP-0249</t>
  </si>
  <si>
    <t>MAP-0250</t>
  </si>
  <si>
    <t>document_name</t>
  </si>
  <si>
    <t>source_sheets</t>
  </si>
  <si>
    <t>output_pattern</t>
  </si>
  <si>
    <t>output_format</t>
  </si>
  <si>
    <t>approval_required</t>
  </si>
  <si>
    <t>target_subfolder</t>
  </si>
  <si>
    <t>versioned</t>
  </si>
  <si>
    <t>PRT-INSTRUMENT</t>
  </si>
  <si>
    <t>00_IDENTITAS|01_INSTRUMEN</t>
  </si>
  <si>
    <t>Instrumen_{unit_slug}_{audit_year}_v{version}.pdf</t>
  </si>
  <si>
    <t>PRT-OPENING</t>
  </si>
  <si>
    <t>Berita Acara Pembukaan</t>
  </si>
  <si>
    <t>BA_Pembukaan_{unit_slug}_{audit_year}_v{version}.pdf</t>
  </si>
  <si>
    <t>PRT-FINDING</t>
  </si>
  <si>
    <t>Daftar Temuan</t>
  </si>
  <si>
    <t>00_IDENTITAS|05_TEMUAN</t>
  </si>
  <si>
    <t>Daftar_Temuan_{unit_slug}_{audit_year}_v{version}.pdf</t>
  </si>
  <si>
    <t>PRT-REPORT</t>
  </si>
  <si>
    <t>Laporan Hasil Audit</t>
  </si>
  <si>
    <t>00_IDENTITAS|10_REKAP|05_TEMUAN</t>
  </si>
  <si>
    <t>Laporan_Audit_{unit_slug}_{audit_year}_v{version}.pdf</t>
  </si>
  <si>
    <t>PRT-FOLLOWUP</t>
  </si>
  <si>
    <t>Rencana Tindak Lanjut</t>
  </si>
  <si>
    <t>05_TEMUAN|06_TINDAK_LANJUT</t>
  </si>
  <si>
    <t>Tindak_Lanjut_{unit_slug}_{audit_year}_v{version}.pdf</t>
  </si>
  <si>
    <t>PRT-VERIFICATION</t>
  </si>
  <si>
    <t>Laporan Verifikasi</t>
  </si>
  <si>
    <t>05_TEMUAN|06_TINDAK_LANJUT|07_VERIFIKASI</t>
  </si>
  <si>
    <t>Verifikasi_{unit_slug}_{audit_year}_v{version}.pdf</t>
  </si>
  <si>
    <t>PRT-CLOSING</t>
  </si>
  <si>
    <t>Berita Acara Penutupan</t>
  </si>
  <si>
    <t>00_IDENTITAS|10_REKAP</t>
  </si>
  <si>
    <t>BA_Penutupan_{unit_slug}_{audit_year}_v{version}.pdf</t>
  </si>
  <si>
    <t>object_type</t>
  </si>
  <si>
    <t>parent_rule</t>
  </si>
  <si>
    <t>name_pattern</t>
  </si>
  <si>
    <t>contains</t>
  </si>
  <si>
    <t>created_when</t>
  </si>
  <si>
    <t>FLD-ROOT</t>
  </si>
  <si>
    <t>FOLDER</t>
  </si>
  <si>
    <t>SAMI_NONAK_POLBENG</t>
  </si>
  <si>
    <t>YEAR_FOLDER</t>
  </si>
  <si>
    <t>INSTALLATION</t>
  </si>
  <si>
    <t>Folder induk seluruh audit</t>
  </si>
  <si>
    <t>FLD-YEAR</t>
  </si>
  <si>
    <t>{audit_year}</t>
  </si>
  <si>
    <t>UNIT_AUDIT_FOLDER</t>
  </si>
  <si>
    <t>FIRST_AUDIT_IN_YEAR</t>
  </si>
  <si>
    <t>Satu folder per tahun audit</t>
  </si>
  <si>
    <t>FLD-UNIT-AUDIT</t>
  </si>
  <si>
    <t>AUDIT_SHEET|EVIDENCE_FOLDER|PRINT_FOLDER</t>
  </si>
  <si>
    <t>AUDIT_PROGRAM_APPROVED</t>
  </si>
  <si>
    <t>Folder audit khusus satu unit dan satu tahun</t>
  </si>
  <si>
    <t>FILE-AUDIT</t>
  </si>
  <si>
    <t>SPREADSHEET</t>
  </si>
  <si>
    <t>AUDIT_TABS</t>
  </si>
  <si>
    <t>Seluruh transaksi auditee dan auditor disimpan di file ini</t>
  </si>
  <si>
    <t>FLD-EVIDENCE</t>
  </si>
  <si>
    <t>UPLOADED_FILES</t>
  </si>
  <si>
    <t>Lampiran fisik; metadata berada pada tab 03_BUKTI</t>
  </si>
  <si>
    <t>FLD-PRINT</t>
  </si>
  <si>
    <t>PDF_OUTPUTS</t>
  </si>
  <si>
    <t>Seluruh versi cetak PDF berada di folder ini</t>
  </si>
  <si>
    <t>NAMING-RULE</t>
  </si>
  <si>
    <t>RULE</t>
  </si>
  <si>
    <t>LOWERCASE_FALSE|SPACE_TO_UNDERSCORE_TRUE</t>
  </si>
  <si>
    <t>RUNTIME</t>
  </si>
  <si>
    <t>Contoh: UPA_Teknologi_Informasi_2026</t>
  </si>
  <si>
    <t>REGISTRY-RULE</t>
  </si>
  <si>
    <t>REGISTER_ID_ONLY</t>
  </si>
  <si>
    <t>02_AUDIT_FILE_REGISTRY</t>
  </si>
  <si>
    <t>AFTER_FILE_CREATED</t>
  </si>
  <si>
    <t>Sheet Sistem hanya menyimpan ID, URL, status, dan lokasi file</t>
  </si>
  <si>
    <t>must_change_password</t>
  </si>
  <si>
    <t>failed_login_count</t>
  </si>
  <si>
    <t>locked_until</t>
  </si>
  <si>
    <t>last_login_at</t>
  </si>
  <si>
    <t>USR-EXAMPLE</t>
  </si>
  <si>
    <t>contoh_admin</t>
  </si>
  <si>
    <t>GANTI_PASSWORD</t>
  </si>
  <si>
    <t>Contoh Administrator</t>
  </si>
  <si>
    <t>Baris contoh; aktifkan setelah username dan password diganti</t>
  </si>
  <si>
    <t>admin1234</t>
  </si>
  <si>
    <t>Administrator SAMI-NONAK</t>
  </si>
  <si>
    <t>Akun awal dibuat oleh initSystem()</t>
  </si>
  <si>
    <t>p3m1234</t>
  </si>
  <si>
    <t>hardi1234</t>
  </si>
  <si>
    <t>Dr. Hardiyanto, M.Si</t>
  </si>
  <si>
    <t>internal_requirement_statement</t>
  </si>
  <si>
    <t>regulatory_requirement_summary</t>
  </si>
  <si>
    <t>iso_process_focus</t>
  </si>
  <si>
    <t>standard_owner</t>
  </si>
  <si>
    <t>adoption_status</t>
  </si>
  <si>
    <t>audit_scope</t>
  </si>
  <si>
    <t>Setiap unit menetapkan mandat, struktur, kewenangan, proses, sasaran, risiko, indikator, dan mekanisme akuntabilitas yang selaras dengan rencana institusi.</t>
  </si>
  <si>
    <t>Pengelolaan wajib direncanakan, dilaksanakan, diawasi, dikendalikan, ditetapkan sebagai standar internal, dan dievaluasi melalui SPMI bidang nonakademik.</t>
  </si>
  <si>
    <t>4.1-4.4; 5.1-5.3; 6.1-6.3; 9.1; 10.3</t>
  </si>
  <si>
    <t>Direktorat dan seluruh kepala unit</t>
  </si>
  <si>
    <t>Rancangan standar internal untuk aplikasi; kode dan judul dapat diganti dengan dokumen resmi Polbeng setelah ditetapkan.</t>
  </si>
  <si>
    <t>Dokumen dan rekaman harus sah, mutakhir, terlindungi, dapat ditelusuri, memiliki retensi, serta dikelola dengan data yang akurat, aman, dan dapat diverifikasi.</t>
  </si>
  <si>
    <t>Pengelolaan data dan informasi menggunakan TIK, menjamin keamanan dan privasi, mendukung triangulasi, serta menyediakan bukti evaluasi pemenuhan standar.</t>
  </si>
  <si>
    <t>7.5; 8.5.2-8.5.3; 9.1</t>
  </si>
  <si>
    <t>Bagian Umum dan Keuangan; UPA TI; seluruh unit</t>
  </si>
  <si>
    <t>Mencakup dokumen fisik, digital, arsip, data pribadi, dan rekaman audit.</t>
  </si>
  <si>
    <t>Setiap unit memastikan jumlah, kompetensi, penempatan, pengembangan, kesadaran mutu, delegasi, dan kontinuitas personel sesuai tugas dan risiko proses.</t>
  </si>
  <si>
    <t>Tenaga kependidikan harus mempunyai kompetensi dan kualifikasi sesuai fungsi administrasi, pengelolaan, pengembangan, pengawasan, dan layanan teknis.</t>
  </si>
  <si>
    <t>5.3; 7.1.2; 7.2-7.3</t>
  </si>
  <si>
    <t>Bagian Umum dan Keuangan; seluruh kepala unit</t>
  </si>
  <si>
    <t>Standar umum personel unit; pengelolaan kepegawaian rinci berada pada SI-SDM-01.</t>
  </si>
  <si>
    <t>Layanan unit mempunyai pengguna, persyaratan, waktu, biaya, keluaran, PIC, mekanisme verifikasi, pengaduan, pengukuran kepuasan, dan tindak lanjut perbaikan.</t>
  </si>
  <si>
    <t>Pelaksanaan pendidikan mencakup pengelolaan dan pelayanan, sumber daya, serta data dan informasi dengan tata kelola yang efektif dan akuntabel.</t>
  </si>
  <si>
    <t>4.2; 5.1.2; 8.1-8.7; 9.1.2-9.1.3; 10.2-10.3</t>
  </si>
  <si>
    <t>Seluruh unit layanan</t>
  </si>
  <si>
    <t>Berlaku pada layanan internal dan eksternal.</t>
  </si>
  <si>
    <t>Sarana, prasarana, alat, lingkungan kerja, K3, aksesibilitas, keadaan darurat, pemeliharaan, kalibrasi, dan kontinuitas layanan direncanakan serta dikendalikan berbasis risiko.</t>
  </si>
  <si>
    <t>Perguruan tinggi menjamin akses sarana yang memadai, aman, sehat, inklusif, berkelanjutan, didukung TIK andal dan sumber pembelajaran.</t>
  </si>
  <si>
    <t>6.1; 7.1.3-7.1.5; 8.5.1; 9.1</t>
  </si>
  <si>
    <t>Bagian Umum dan Keuangan; UPA terkait; jurusan</t>
  </si>
  <si>
    <t>Mencakup kebakaran, bencana, limbah B3, kehilangan data, dan gangguan layanan.</t>
  </si>
  <si>
    <t>Kebutuhan, spesifikasi, pemilihan penyedia, kontrak, penerimaan, evaluasi kinerja, dan proses alih daya dikendalikan secara transparan, akuntabel, efisien, dan berbasis risiko.</t>
  </si>
  <si>
    <t>Sumber daya dan pembiayaan dikelola dengan prinsip tata kelola perguruan tinggi yang baik; detail pengadaan ditetapkan dalam standar internal dan peraturan pengadaan.</t>
  </si>
  <si>
    <t>6.1; 8.1; 8.4; 8.6; 9.1.3</t>
  </si>
  <si>
    <t>Bagian AKPK dan Bagian Umum dan Keuangan</t>
  </si>
  <si>
    <t>SELECTED_FUNCTIONS</t>
  </si>
  <si>
    <t>Persyaratan rinci tetap mengikuti regulasi PBJ pemerintah yang berlaku.</t>
  </si>
  <si>
    <t>Setiap unit mengukur indikator, memvalidasi data, mengendalikan ketidaksesuaian, menganalisis sebab, menindaklanjuti temuan, memverifikasi efektivitas, dan meningkatkan proses.</t>
  </si>
  <si>
    <t>Pemenuhan dan relevansi standar dievaluasi sistemik dengan data dan triangulasi melalui pemantauan, evaluasi diri, AMI, asesmen, pengendalian, dan peningkatan.</t>
  </si>
  <si>
    <t>8.7; 9.1-9.3; 10.1-10.3</t>
  </si>
  <si>
    <t>Seluruh unit; P4MP sebagai koordinator</t>
  </si>
  <si>
    <t>Menjadi standar lintas unit untuk siklus evaluasi dan perbaikan.</t>
  </si>
  <si>
    <t>Pimpinan menetapkan kebijakan, sasaran, sumber daya, perubahan, tinjauan manajemen, keputusan, dan pemantauan efektivitas tata kelola institusi.</t>
  </si>
  <si>
    <t>Pimpinan menerapkan tata kelola yang baik, menetapkan standar internal, memastikan PPEPP, dan menindaklanjuti hasil evaluasi.</t>
  </si>
  <si>
    <t>5.1-5.3; 6.2-6.3; 7.1; 9.3; 10.3</t>
  </si>
  <si>
    <t>Direktur dan Wakil Direktur</t>
  </si>
  <si>
    <t>Khusus pimpinan institusi.</t>
  </si>
  <si>
    <t>Rencana jangka panjang, menengah, tahunan, program, indikator, baseline, anggaran, perubahan, realisasi, analisis deviasi, dan perbaikan disusun secara terpadu.</t>
  </si>
  <si>
    <t>Perguruan tinggi menyusun rencana strategis dan rencana berkelanjutan, termasuk strategi keuangan, serta mengevaluasi pemenuhan standar.</t>
  </si>
  <si>
    <t>6.1-6.3; 8.1; 9.1; 10.3</t>
  </si>
  <si>
    <t>Mencakup cascading sasaran dan evaluasi kinerja institusi.</t>
  </si>
  <si>
    <t>Perencanaan, pelaksanaan, verifikasi, pembayaran, pencatatan, rekonsiliasi, pelaporan, perpajakan, akses sistem, koreksi, dan tindak lanjut keuangan dikendalikan secara tertib dan akuntabel.</t>
  </si>
  <si>
    <t>Perguruan tinggi memastikan pendanaan memadai dan berkelanjutan serta menerapkan pengelolaan keuangan berdasarkan tata kelola yang baik.</t>
  </si>
  <si>
    <t>5.3; 7.5; 8.1; 8.5.2; 8.6; 9.1; 10.2</t>
  </si>
  <si>
    <t>Persyaratan teknis mengikuti regulasi keuangan negara.</t>
  </si>
  <si>
    <t>Analisis jabatan dan beban kerja, data pegawai, penempatan, karier, kinerja, disiplin, kompetensi, suksesi, perlindungan data, dan standar layanan kepegawaian dikendalikan.</t>
  </si>
  <si>
    <t>Kompetensi dan kualifikasi tenaga kependidikan ditetapkan perguruan tinggi sesuai kebutuhan fungsi administrasi, pengelolaan, pengawasan, dan layanan teknis.</t>
  </si>
  <si>
    <t>5.3; 7.1.2; 7.2-7.3; 9.1; 10.2</t>
  </si>
  <si>
    <t>HR_MANAGEMENT</t>
  </si>
  <si>
    <t>Standar rinci pengelolaan pegawai.</t>
  </si>
  <si>
    <t>Persuratan, arsip, tata naskah, harmonisasi hukum, organisasi, proses bisnis, kerumahtanggaan, akses fasilitas, dan kesiapsiagaan dikelola secara sah dan tertelusur.</t>
  </si>
  <si>
    <t>Pengelolaan pendidikan mencakup sumber daya serta data dan informasi, dengan pengawasan bidang nonakademik dan tata kelola yang baik.</t>
  </si>
  <si>
    <t>4.4; 5.3; 6.1; 7.5; 8.5.1-8.5.2; 8.6; 9.1</t>
  </si>
  <si>
    <t>Mencakup proses bisnis kelembagaan dan kearsipan.</t>
  </si>
  <si>
    <t>Aset dicatat, diidentifikasi, diinventarisasi, dipelihara, dipindahkan, dipinjamkan, diamankan, direkonsiliasi, dihapus, dan direncanakan penggantiannya secara tertib.</t>
  </si>
  <si>
    <t>Sarana dan prasarana harus memadai, berkesinambungan, aman, sehat, dan dikelola secara akuntabel sebagai bagian bidang nonakademik.</t>
  </si>
  <si>
    <t>6.1; 7.1.3-7.1.4; 8.5.2-8.5.4; 8.7; 9.1; 10.2</t>
  </si>
  <si>
    <t>Persyaratan teknis BMN mengikuti regulasi barang milik negara.</t>
  </si>
  <si>
    <t>Data dan layanan mahasiswa, registrasi, cuti, pindah, kelulusan, beasiswa, organisasi mahasiswa, keselamatan kegiatan, alumni, kerahasiaan, dan kepuasan dikendalikan.</t>
  </si>
  <si>
    <t>Perguruan tinggi mengelola pelayanan mahasiswa, data dan informasi, masa studi, kemahasiswaan sebagai bidang nonakademik, dan menggunakan data tervalidasi dengan triangulasi.</t>
  </si>
  <si>
    <t>7.5; 8.1-8.7; 9.1.1-9.1.3; 10.2</t>
  </si>
  <si>
    <t>ACADEMIC_STUDENT_ADMIN</t>
  </si>
  <si>
    <t>Audit dibatasi pada proses administrasi dan layanan pendukung.</t>
  </si>
  <si>
    <t>Kerja sama, mitra, naskah, output, masa berlaku, evaluasi, informasi publik, informasi dikecualikan, publikasi, dan pengaduan dikelola secara sah, akurat, aman, dan bermanfaat.</t>
  </si>
  <si>
    <t>Pelayanan dan data dikelola dengan tata kelola yang baik; pendidikan vokasi dan tridharma dapat melibatkan mitra industri dengan ketentuan kerja sama yang ditetapkan.</t>
  </si>
  <si>
    <t>4.2; 6.1-6.2; 7.4-7.5; 8.1-8.6; 9.1; 10.2</t>
  </si>
  <si>
    <t>COOPERATION_PUBLIC_INFO</t>
  </si>
  <si>
    <t>Mencakup kerja sama kelembagaan dan hubungan eksternal.</t>
  </si>
  <si>
    <t>Aplikasi, infrastruktur, akses, perubahan, backup, insiden, kerentanan, ketersediaan, layanan bantuan, pemulihan, cloud, integrasi, privasi, dan keamanan data dikelola.</t>
  </si>
  <si>
    <t>Tata kelola TIK harus efektif, transparan, andal, akuntabel, menjamin privasi dan keamanan, serta mendukung dokumentasi dan evaluasi.</t>
  </si>
  <si>
    <t>6.1; 7.1.3; 7.5; 8.3-8.7; 9.1; 10.2</t>
  </si>
  <si>
    <t>Dapat diperdalam dengan standar keamanan informasi terpisah.</t>
  </si>
  <si>
    <t>Kebutuhan, pengadaan, katalog, sirkulasi, kehilangan, lisensi, ruang, statistik, kepuasan, dan penyiangan koleksi serta sumber pembelajaran dikelola.</t>
  </si>
  <si>
    <t>Perguruan tinggi menyediakan sumber pembelajaran yang dapat diakses dan mengutamakan sumber terbuka yang relevan dengan kurikulum.</t>
  </si>
  <si>
    <t>4.2; 7.1.3; 7.5; 8.1; 8.4-8.7; 9.1; 10.3</t>
  </si>
  <si>
    <t>Mencakup sumber cetak dan elektronik.</t>
  </si>
  <si>
    <t>Identitas, kritikalitas, pemeliharaan, permintaan perbaikan, kompetensi teknisi, suku cadang, pengujian, downtime, isolasi alat tidak aman, dan petunjuk penggunaan dikendalikan.</t>
  </si>
  <si>
    <t>Sarana pembelajaran harus memadai, berkesinambungan, aman, sehat, dan mendukung kebutuhan pendidikan serta manajemen pendidikan tinggi.</t>
  </si>
  <si>
    <t>6.1; 7.1.3-7.1.5; 7.2-7.3; 8.1; 8.6-8.7; 9.1; 10.2</t>
  </si>
  <si>
    <t>Diterapkan pada mesin dan peralatan penunjang.</t>
  </si>
  <si>
    <t>Program, kompetensi pengajar/penguji, materi, identitas peserta, keamanan soal, perangkat uji, sertifikat, keluhan, dan koreksi hasil dikendalikan.</t>
  </si>
  <si>
    <t>Layanan teknis ditunjang personel kompeten dan fasilitas memadai dengan tata kelola yang efektif dan akuntabel.</t>
  </si>
  <si>
    <t>4.2; 7.1.3; 7.2; 7.5; 8.1-8.7; 9.1; 10.2-10.3</t>
  </si>
  <si>
    <t>Mencakup layanan pelatihan dan tes bahasa.</t>
  </si>
  <si>
    <t>Pemetaan industri, data mitra, informasi lowongan, pelatihan, rekrutmen, magang, perlindungan data, seleksi kewirausahaan, monitoring, umpan balik, dan capaian dikendalikan.</t>
  </si>
  <si>
    <t>Layanan mahasiswa dan kolaborasi dunia usaha/industri dikelola untuk mendukung pendidikan vokasi dan peningkatan mutu berkelanjutan.</t>
  </si>
  <si>
    <t>4.2; 6.2; 7.2; 7.5; 8.1-8.6; 9.1; 10.3</t>
  </si>
  <si>
    <t>Mencakup mahasiswa dan alumni.</t>
  </si>
  <si>
    <t>Skema, asesor, peserta, perangkat asesmen, tempat uji, konflik kepentingan, bukti hasil, keluhan/banding, sertifikat, dan kepuasan dikendalikan.</t>
  </si>
  <si>
    <t>Layanan teknis memerlukan tenaga kompeten, sarana memadai, dan tata kelola yang efektif, akuntabel, serta berkelanjutan.</t>
  </si>
  <si>
    <t>5.3; 7.1.3; 7.2; 7.5; 8.1-8.7; 9.1-9.2; 10.2</t>
  </si>
  <si>
    <t>Skema khusus tetap mengikuti lembaga sertifikasi yang berwenang.</t>
  </si>
  <si>
    <t>Strategi, seleksi, etik, konflik kepentingan, kontrak, pembiayaan, monitoring, perubahan, luaran, HKI, publikasi, diseminasi, data, evaluasi, dan perbaikan penelitian/PkM dikendalikan.</t>
  </si>
  <si>
    <t>Penelitian dan PkM mencakup standar luaran, proses, dan masukan yang dikelola melalui perencanaan, pelaksanaan, penilaian, pengawasan, pengendalian, sumber daya, dan TIK.</t>
  </si>
  <si>
    <t>5.3; 6.1-6.2; 7.1-7.5; 8.1; 8.5-8.7; 9.1; 10.2-10.3</t>
  </si>
  <si>
    <t>Satu standar payung dengan substandar penelitian dan PkM.</t>
  </si>
  <si>
    <t>Kebijakan, manual, standar, indikator, program mutu, auditor, instrumen, pelaksanaan AMI, konsistensi temuan, tindak lanjut, RTM, efektivitas, dan peningkatan SPMI dikendalikan.</t>
  </si>
  <si>
    <t>Standar internal merupakan penjabaran operasional dan pelampauan SN Dikti; SPMI mencakup akademik/nonakademik, berbasis data dan triangulasi, menerapkan PPEPP dan AMI berkala.</t>
  </si>
  <si>
    <t>4.4; 5.1-5.3; 6.1-6.3; 7.2; 7.5; 9.1-9.3; 10.2-10.3</t>
  </si>
  <si>
    <t>Menjadi standar pengendali aplikasi AMI nonakademik.</t>
  </si>
  <si>
    <t>Pembagian tugas, kebutuhan sumber daya, jadwal fasilitas, persediaan, pemeliharaan, akses, K3, insiden, peminjaman, kebersihan, keamanan, dan kelayakan jurusan dikendalikan.</t>
  </si>
  <si>
    <t>Jurusan mengelola sumber daya, layanan, data, personel, sarana, keselamatan, dan evaluasi sesuai standar internal dan SPMI.</t>
  </si>
  <si>
    <t>5.3; 6.1; 7.1-7.5; 8.1; 8.5-8.7; 9.1; 10.2</t>
  </si>
  <si>
    <t>Seluruh jurusan</t>
  </si>
  <si>
    <t>Mencakup administrasi serta laboratorium/bengkel/studio.</t>
  </si>
  <si>
    <t>Program berbasis risiko, ruang lingkup, independensi, bukti, kertas kerja, reviu laporan, tanggapan unit, rekomendasi, verifikasi tindak lanjut, analisis temuan berulang, kerahasiaan, dan evaluasi program dikendalikan.</t>
  </si>
  <si>
    <t>Bidang nonakademik mencakup organisasi, keuangan, kemahasiswaan, ketenagaan, dan sarana; evaluasi menggunakan data, triangulasi, pengawasan, pengendalian, dan peningkatan.</t>
  </si>
  <si>
    <t>5.3; 6.1; 7.2; 7.5; 8.6; 9.1-9.3; 10.2-10.3</t>
  </si>
  <si>
    <t>Kewenangan organisasi tetap merujuk Statuta Polbeng.</t>
  </si>
  <si>
    <t>internal_standard_codes</t>
  </si>
  <si>
    <t>primary_standard_code</t>
  </si>
  <si>
    <t>Pemetaan desain aplikasi; standar berstatus rancangan hingga diformalkan Polbeng.</t>
  </si>
  <si>
    <t>internal_requirement</t>
  </si>
  <si>
    <t>regulatory_summary</t>
  </si>
  <si>
    <t>function_ids</t>
  </si>
  <si>
    <t>unit_codes</t>
  </si>
  <si>
    <t>matrix_version</t>
  </si>
  <si>
    <t>Standar internal berstatus rancangan sampai ditetapkan secara formal oleh Polbeng.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</si>
</sst>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dd/MM/yyyy"/>
  </numFmts>
  <fonts count="9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i/>
      <sz val="10.0"/>
      <color rgb="FF1E1E1E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  <fill>
      <patternFill patternType="solid">
        <fgColor rgb="FFD2E2FC"/>
        <bgColor rgb="FFD2E2FC"/>
      </patternFill>
    </fill>
    <fill>
      <patternFill patternType="solid">
        <fgColor rgb="FF5F6267"/>
        <bgColor rgb="FF5F6267"/>
      </patternFill>
    </fill>
    <fill>
      <patternFill patternType="solid">
        <fgColor rgb="FFE8EAED"/>
        <bgColor rgb="FFE8EAED"/>
      </patternFill>
    </fill>
    <fill>
      <patternFill patternType="solid">
        <fgColor rgb="FFEAEAEA"/>
        <bgColor rgb="FFEAEAEA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vertical="center"/>
    </xf>
    <xf borderId="0" fillId="4" fontId="3" numFmtId="0" xfId="0" applyAlignment="1" applyFont="1">
      <alignment horizontal="center" vertical="center"/>
    </xf>
    <xf borderId="0" fillId="0" fontId="4" numFmtId="0" xfId="0" applyAlignment="1" applyFont="1">
      <alignment readingOrder="0" shrinkToFit="0" vertical="top" wrapText="1"/>
    </xf>
    <xf quotePrefix="1" borderId="0" fillId="0" fontId="5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readingOrder="0"/>
    </xf>
    <xf borderId="0" fillId="5" fontId="5" numFmtId="0" xfId="0" applyAlignment="1" applyFill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4" xfId="0" applyAlignment="1" applyFont="1" applyNumberFormat="1">
      <alignment readingOrder="0"/>
    </xf>
    <xf borderId="0" fillId="6" fontId="5" numFmtId="0" xfId="0" applyAlignment="1" applyFill="1" applyFont="1">
      <alignment horizontal="center" shrinkToFit="0" vertical="center" wrapText="1"/>
    </xf>
    <xf borderId="0" fillId="0" fontId="4" numFmtId="14" xfId="0" applyAlignment="1" applyFont="1" applyNumberFormat="1">
      <alignment readingOrder="0" shrinkToFit="0" vertical="top" wrapText="1"/>
    </xf>
    <xf quotePrefix="1" borderId="0" fillId="0" fontId="4" numFmtId="0" xfId="0" applyAlignment="1" applyFont="1">
      <alignment readingOrder="0" shrinkToFit="0" vertical="top" wrapText="1"/>
    </xf>
    <xf quotePrefix="1"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quotePrefix="1" borderId="0" fillId="0" fontId="4" numFmtId="0" xfId="0" applyAlignment="1" applyFont="1">
      <alignment readingOrder="0"/>
    </xf>
    <xf borderId="0" fillId="6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6" fontId="5" numFmtId="0" xfId="0" applyAlignment="1" applyFont="1">
      <alignment horizontal="center" readingOrder="0" shrinkToFit="0" vertical="center" wrapText="1"/>
    </xf>
    <xf borderId="0" fillId="6" fontId="5" numFmtId="0" xfId="0" applyAlignment="1" applyFont="1">
      <alignment readingOrder="0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0" fontId="4" numFmtId="165" xfId="0" applyAlignment="1" applyFont="1" applyNumberForma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/>
    </xf>
    <xf borderId="0" fillId="0" fontId="4" numFmtId="166" xfId="0" applyAlignment="1" applyFont="1" applyNumberFormat="1">
      <alignment shrinkToFit="0" vertical="top" wrapText="1"/>
    </xf>
    <xf borderId="0" fillId="5" fontId="5" numFmtId="0" xfId="0" applyAlignment="1" applyFont="1">
      <alignment readingOrder="0" shrinkToFit="0" vertical="center" wrapText="1"/>
    </xf>
    <xf borderId="0" fillId="5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_FcPTNrSJdVK8S67Jrg9cDxq6_Umie8tnt0XTQn3Hw/edit" TargetMode="External"/><Relationship Id="rId2" Type="http://schemas.openxmlformats.org/officeDocument/2006/relationships/hyperlink" Target="https://drive.google.com/drive/folders/1xKRMK3aqpGR9FFZ1DxohGZ4mHrf8M4zn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peraturan.go.id/id/permendiktisaintek-no-39-tahun-2025" TargetMode="External"/><Relationship Id="rId2" Type="http://schemas.openxmlformats.org/officeDocument/2006/relationships/hyperlink" Target="https://www.iso.org/standard/62085.html" TargetMode="External"/><Relationship Id="rId3" Type="http://schemas.openxmlformats.org/officeDocument/2006/relationships/hyperlink" Target="https://peraturan.go.id/id/permendikbudristek-no-43-tahun-2022" TargetMode="External"/><Relationship Id="rId4" Type="http://schemas.openxmlformats.org/officeDocument/2006/relationships/hyperlink" Target="https://peraturan.bpk.go.id/Details/345239/permendikti-saintek-no-57-tahun-2025" TargetMode="External"/><Relationship Id="rId5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88"/>
    <col customWidth="1" min="2" max="2" width="16.38"/>
    <col customWidth="1" min="3" max="3" width="3.13"/>
    <col customWidth="1" min="4" max="4" width="22.63"/>
    <col customWidth="1" min="5" max="8" width="18.88"/>
  </cols>
  <sheetData>
    <row r="1" ht="25.5" customHeight="1">
      <c r="A1" s="1" t="s">
        <v>0</v>
      </c>
    </row>
    <row r="2" ht="25.5" customHeight="1">
      <c r="A2" s="2" t="s">
        <v>1</v>
      </c>
    </row>
    <row r="4">
      <c r="A4" s="3" t="s">
        <v>2</v>
      </c>
      <c r="B4" s="3" t="s">
        <v>3</v>
      </c>
      <c r="C4" s="4"/>
      <c r="D4" s="3" t="s">
        <v>4</v>
      </c>
    </row>
    <row r="5">
      <c r="A5" s="5" t="s">
        <v>5</v>
      </c>
      <c r="B5" s="6" t="s">
        <v>6</v>
      </c>
      <c r="C5" s="7"/>
      <c r="D5" s="5" t="s">
        <v>7</v>
      </c>
      <c r="E5" s="5" t="s">
        <v>8</v>
      </c>
      <c r="F5" s="7"/>
      <c r="G5" s="7"/>
      <c r="H5" s="7"/>
    </row>
    <row r="6">
      <c r="A6" s="5" t="s">
        <v>9</v>
      </c>
      <c r="B6" s="6" t="s">
        <v>10</v>
      </c>
      <c r="C6" s="7"/>
      <c r="D6" s="5" t="s">
        <v>11</v>
      </c>
      <c r="E6" s="5" t="s">
        <v>12</v>
      </c>
      <c r="F6" s="7"/>
      <c r="G6" s="7"/>
      <c r="H6" s="7"/>
    </row>
    <row r="7">
      <c r="A7" s="5" t="s">
        <v>13</v>
      </c>
      <c r="B7" s="6" t="s">
        <v>14</v>
      </c>
      <c r="C7" s="7"/>
      <c r="D7" s="5" t="s">
        <v>15</v>
      </c>
      <c r="E7" s="5" t="s">
        <v>16</v>
      </c>
      <c r="F7" s="7"/>
      <c r="G7" s="7"/>
      <c r="H7" s="7"/>
    </row>
    <row r="8">
      <c r="A8" s="5" t="s">
        <v>17</v>
      </c>
      <c r="B8" s="6" t="s">
        <v>18</v>
      </c>
      <c r="C8" s="7"/>
      <c r="D8" s="5" t="s">
        <v>19</v>
      </c>
      <c r="E8" s="5" t="s">
        <v>20</v>
      </c>
      <c r="F8" s="7"/>
      <c r="G8" s="7"/>
      <c r="H8" s="7"/>
    </row>
    <row r="9">
      <c r="A9" s="5" t="s">
        <v>21</v>
      </c>
      <c r="B9" s="6" t="s">
        <v>22</v>
      </c>
      <c r="C9" s="7"/>
      <c r="D9" s="5" t="s">
        <v>23</v>
      </c>
      <c r="E9" s="5" t="s">
        <v>24</v>
      </c>
      <c r="F9" s="7"/>
      <c r="G9" s="7"/>
      <c r="H9" s="7"/>
    </row>
    <row r="10">
      <c r="A10" s="5" t="s">
        <v>25</v>
      </c>
      <c r="B10" s="8" t="s">
        <v>26</v>
      </c>
      <c r="C10" s="7"/>
      <c r="D10" s="5" t="s">
        <v>27</v>
      </c>
      <c r="E10" s="5" t="s">
        <v>28</v>
      </c>
      <c r="F10" s="7"/>
      <c r="G10" s="7"/>
      <c r="H10" s="7"/>
    </row>
    <row r="11">
      <c r="A11" s="9" t="s">
        <v>29</v>
      </c>
      <c r="B11" s="9" t="s">
        <v>30</v>
      </c>
      <c r="D11" s="9" t="s">
        <v>31</v>
      </c>
      <c r="E11" s="9" t="s">
        <v>32</v>
      </c>
    </row>
    <row r="12">
      <c r="A12" s="3" t="s">
        <v>33</v>
      </c>
    </row>
    <row r="13">
      <c r="A13" s="5" t="s">
        <v>34</v>
      </c>
      <c r="B13" s="5" t="s">
        <v>35</v>
      </c>
    </row>
    <row r="14">
      <c r="A14" s="5" t="s">
        <v>36</v>
      </c>
      <c r="B14" s="5" t="s">
        <v>37</v>
      </c>
    </row>
    <row r="15">
      <c r="A15" s="5" t="s">
        <v>38</v>
      </c>
      <c r="B15" s="5" t="s">
        <v>39</v>
      </c>
    </row>
    <row r="16">
      <c r="A16" s="5" t="s">
        <v>40</v>
      </c>
      <c r="B16" s="5" t="s">
        <v>41</v>
      </c>
    </row>
    <row r="17">
      <c r="A17" s="5" t="s">
        <v>42</v>
      </c>
      <c r="B17" s="5" t="s">
        <v>43</v>
      </c>
    </row>
    <row r="18">
      <c r="A18" s="5" t="s">
        <v>44</v>
      </c>
      <c r="B18" s="5" t="s">
        <v>45</v>
      </c>
    </row>
    <row r="20">
      <c r="A20" s="9" t="s">
        <v>46</v>
      </c>
      <c r="B20" s="9">
        <v>25.0</v>
      </c>
    </row>
    <row r="21">
      <c r="A21" s="9" t="s">
        <v>47</v>
      </c>
      <c r="B21" s="9">
        <v>42.0</v>
      </c>
    </row>
    <row r="22">
      <c r="A22" s="9" t="s">
        <v>48</v>
      </c>
      <c r="B22" s="9">
        <v>250.0</v>
      </c>
    </row>
    <row r="23">
      <c r="A23" s="9" t="s">
        <v>49</v>
      </c>
      <c r="B23" s="9" t="s">
        <v>50</v>
      </c>
    </row>
  </sheetData>
  <mergeCells count="10">
    <mergeCell ref="B16:H16"/>
    <mergeCell ref="B17:H17"/>
    <mergeCell ref="B18:H18"/>
    <mergeCell ref="A1:H1"/>
    <mergeCell ref="A2:H2"/>
    <mergeCell ref="D4:H4"/>
    <mergeCell ref="A12:H12"/>
    <mergeCell ref="B13:H13"/>
    <mergeCell ref="B14:H14"/>
    <mergeCell ref="B15:H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25"/>
    <col customWidth="1" hidden="1" min="9" max="17" width="18.25"/>
  </cols>
  <sheetData>
    <row r="1">
      <c r="A1" s="10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0" t="s">
        <v>57</v>
      </c>
      <c r="H1" s="10" t="s">
        <v>58</v>
      </c>
      <c r="I1" s="10" t="s">
        <v>59</v>
      </c>
      <c r="J1" s="10" t="s">
        <v>60</v>
      </c>
      <c r="K1" s="10" t="s">
        <v>61</v>
      </c>
      <c r="L1" s="10" t="s">
        <v>62</v>
      </c>
      <c r="M1" s="10" t="s">
        <v>63</v>
      </c>
      <c r="N1" s="10" t="s">
        <v>64</v>
      </c>
      <c r="O1" s="10" t="s">
        <v>65</v>
      </c>
      <c r="P1" s="10" t="s">
        <v>66</v>
      </c>
      <c r="Q1" s="10" t="s">
        <v>67</v>
      </c>
    </row>
    <row r="2">
      <c r="A2" s="11" t="s">
        <v>68</v>
      </c>
      <c r="B2" s="11" t="s">
        <v>69</v>
      </c>
      <c r="C2" s="11" t="s">
        <v>70</v>
      </c>
      <c r="D2" s="11" t="s">
        <v>71</v>
      </c>
      <c r="E2" s="12">
        <v>46222.35574540509</v>
      </c>
      <c r="F2" s="12">
        <v>46222.689078738425</v>
      </c>
      <c r="G2" s="12">
        <v>46222.35596221065</v>
      </c>
      <c r="H2" s="13">
        <v>46222.35689164352</v>
      </c>
      <c r="I2" s="12">
        <v>46222.35574629629</v>
      </c>
      <c r="J2" s="11" t="s">
        <v>72</v>
      </c>
      <c r="K2" s="12">
        <v>46222.35695302083</v>
      </c>
      <c r="L2" s="11" t="s">
        <v>72</v>
      </c>
      <c r="M2" s="9">
        <v>4.0</v>
      </c>
    </row>
    <row r="3">
      <c r="A3" s="11" t="s">
        <v>73</v>
      </c>
      <c r="B3" s="11" t="s">
        <v>69</v>
      </c>
      <c r="C3" s="11" t="s">
        <v>74</v>
      </c>
      <c r="D3" s="11" t="s">
        <v>71</v>
      </c>
      <c r="E3" s="12">
        <v>46222.357227361106</v>
      </c>
      <c r="F3" s="12">
        <v>46222.69056069445</v>
      </c>
      <c r="G3" s="12">
        <v>46222.36166597222</v>
      </c>
      <c r="H3" s="13">
        <v>46222.365002060185</v>
      </c>
      <c r="I3" s="12">
        <v>46222.3572290625</v>
      </c>
      <c r="J3" s="11" t="s">
        <v>72</v>
      </c>
      <c r="K3" s="12">
        <v>46222.36502582176</v>
      </c>
      <c r="L3" s="11" t="s">
        <v>75</v>
      </c>
      <c r="M3" s="9">
        <v>4.0</v>
      </c>
    </row>
    <row r="4">
      <c r="A4" s="11" t="s">
        <v>76</v>
      </c>
      <c r="B4" s="11" t="s">
        <v>77</v>
      </c>
      <c r="C4" s="11" t="s">
        <v>78</v>
      </c>
      <c r="D4" s="11" t="s">
        <v>71</v>
      </c>
      <c r="E4" s="12">
        <v>46222.365387858794</v>
      </c>
      <c r="F4" s="12">
        <v>46222.69872119213</v>
      </c>
      <c r="G4" s="12">
        <v>46222.365641956014</v>
      </c>
      <c r="H4" s="13">
        <v>46222.36787417824</v>
      </c>
      <c r="I4" s="12">
        <v>46222.36538851852</v>
      </c>
      <c r="J4" s="11" t="s">
        <v>79</v>
      </c>
      <c r="K4" s="12">
        <v>46222.36790575231</v>
      </c>
      <c r="L4" s="11" t="s">
        <v>75</v>
      </c>
      <c r="M4" s="9">
        <v>3.0</v>
      </c>
    </row>
    <row r="5">
      <c r="A5" s="11" t="s">
        <v>80</v>
      </c>
      <c r="B5" s="11" t="s">
        <v>81</v>
      </c>
      <c r="C5" s="11" t="s">
        <v>82</v>
      </c>
      <c r="D5" s="11" t="s">
        <v>71</v>
      </c>
      <c r="E5" s="12">
        <v>46222.36863585648</v>
      </c>
      <c r="F5" s="12">
        <v>46222.70196918982</v>
      </c>
      <c r="G5" s="12">
        <v>46222.3688262963</v>
      </c>
      <c r="H5" s="13">
        <v>46222.37016784722</v>
      </c>
      <c r="I5" s="12">
        <v>46222.3686365162</v>
      </c>
      <c r="J5" s="11" t="s">
        <v>83</v>
      </c>
      <c r="K5" s="12">
        <v>46222.370251562505</v>
      </c>
      <c r="L5" s="11" t="s">
        <v>75</v>
      </c>
      <c r="M5" s="9">
        <v>4.0</v>
      </c>
    </row>
    <row r="6">
      <c r="A6" s="11" t="s">
        <v>84</v>
      </c>
      <c r="B6" s="11" t="s">
        <v>69</v>
      </c>
      <c r="C6" s="11" t="s">
        <v>85</v>
      </c>
      <c r="D6" s="11" t="s">
        <v>71</v>
      </c>
      <c r="E6" s="12">
        <v>46222.37046332176</v>
      </c>
      <c r="F6" s="12">
        <v>46222.70379665509</v>
      </c>
      <c r="G6" s="12">
        <v>46222.3818262037</v>
      </c>
      <c r="H6" s="13">
        <v>46222.38237043982</v>
      </c>
      <c r="I6" s="12">
        <v>46222.3704640162</v>
      </c>
      <c r="J6" s="11" t="s">
        <v>72</v>
      </c>
      <c r="K6" s="12">
        <v>46222.382388125</v>
      </c>
      <c r="L6" s="11" t="s">
        <v>75</v>
      </c>
      <c r="M6" s="9">
        <v>6.0</v>
      </c>
    </row>
    <row r="7">
      <c r="A7" s="11" t="s">
        <v>86</v>
      </c>
      <c r="B7" s="11" t="s">
        <v>77</v>
      </c>
      <c r="C7" s="11" t="s">
        <v>87</v>
      </c>
      <c r="D7" s="11" t="s">
        <v>88</v>
      </c>
      <c r="E7" s="12">
        <v>46222.38273982639</v>
      </c>
      <c r="F7" s="12">
        <v>46222.716073159725</v>
      </c>
      <c r="G7" s="12">
        <v>46222.38291097222</v>
      </c>
      <c r="I7" s="12">
        <v>46222.382740810186</v>
      </c>
      <c r="J7" s="11" t="s">
        <v>79</v>
      </c>
      <c r="K7" s="12">
        <v>46222.38292866898</v>
      </c>
      <c r="L7" s="11" t="s">
        <v>79</v>
      </c>
      <c r="M7" s="9">
        <v>2.0</v>
      </c>
    </row>
  </sheetData>
  <autoFilter ref="$A$1:$O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25"/>
    <col customWidth="1" hidden="1" min="7" max="15" width="18.25"/>
  </cols>
  <sheetData>
    <row r="1">
      <c r="A1" s="10" t="s">
        <v>89</v>
      </c>
      <c r="B1" s="10" t="s">
        <v>90</v>
      </c>
      <c r="C1" s="10" t="s">
        <v>91</v>
      </c>
      <c r="D1" s="10" t="s">
        <v>92</v>
      </c>
      <c r="E1" s="10" t="s">
        <v>93</v>
      </c>
      <c r="F1" s="10" t="s">
        <v>94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0" t="s">
        <v>65</v>
      </c>
      <c r="N1" s="10" t="s">
        <v>66</v>
      </c>
      <c r="O1" s="10" t="s">
        <v>67</v>
      </c>
    </row>
    <row r="2">
      <c r="A2" s="11" t="s">
        <v>95</v>
      </c>
      <c r="B2" s="11" t="s">
        <v>96</v>
      </c>
      <c r="C2" s="11" t="s">
        <v>97</v>
      </c>
      <c r="D2" s="13">
        <v>46023.0</v>
      </c>
      <c r="E2" s="13">
        <v>46387.0</v>
      </c>
      <c r="F2" s="11" t="s">
        <v>88</v>
      </c>
      <c r="G2" s="12">
        <v>46222.35277572917</v>
      </c>
      <c r="H2" s="11" t="s">
        <v>75</v>
      </c>
      <c r="I2" s="12">
        <v>46222.35277572917</v>
      </c>
      <c r="J2" s="11" t="s">
        <v>75</v>
      </c>
      <c r="K2" s="9">
        <v>1.0</v>
      </c>
    </row>
  </sheetData>
  <autoFilter ref="$A$1:$M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25"/>
    <col customWidth="1" hidden="1" min="10" max="18" width="18.25"/>
  </cols>
  <sheetData>
    <row r="1">
      <c r="A1" s="10" t="s">
        <v>98</v>
      </c>
      <c r="B1" s="10" t="s">
        <v>99</v>
      </c>
      <c r="C1" s="10" t="s">
        <v>100</v>
      </c>
      <c r="D1" s="10" t="s">
        <v>101</v>
      </c>
      <c r="E1" s="10" t="s">
        <v>102</v>
      </c>
      <c r="F1" s="10" t="s">
        <v>103</v>
      </c>
      <c r="G1" s="10" t="s">
        <v>104</v>
      </c>
      <c r="H1" s="10" t="s">
        <v>105</v>
      </c>
      <c r="I1" s="10" t="s">
        <v>106</v>
      </c>
      <c r="J1" s="10" t="s">
        <v>59</v>
      </c>
      <c r="K1" s="10" t="s">
        <v>60</v>
      </c>
      <c r="L1" s="10" t="s">
        <v>61</v>
      </c>
      <c r="M1" s="10" t="s">
        <v>62</v>
      </c>
      <c r="N1" s="10" t="s">
        <v>63</v>
      </c>
      <c r="O1" s="10" t="s">
        <v>64</v>
      </c>
      <c r="P1" s="10" t="s">
        <v>65</v>
      </c>
      <c r="Q1" s="10" t="s">
        <v>66</v>
      </c>
      <c r="R1" s="10" t="s">
        <v>67</v>
      </c>
    </row>
    <row r="2">
      <c r="A2" s="11" t="s">
        <v>107</v>
      </c>
      <c r="B2" s="11" t="s">
        <v>108</v>
      </c>
      <c r="C2" s="11" t="s">
        <v>81</v>
      </c>
      <c r="D2" s="11" t="s">
        <v>83</v>
      </c>
      <c r="E2" s="11" t="s">
        <v>109</v>
      </c>
      <c r="F2" s="11" t="s">
        <v>110</v>
      </c>
      <c r="G2" s="11" t="s">
        <v>111</v>
      </c>
      <c r="H2" s="12">
        <v>46222.37730241899</v>
      </c>
      <c r="I2" s="13">
        <v>46222.37742684028</v>
      </c>
      <c r="J2" s="12">
        <v>46222.37730328704</v>
      </c>
      <c r="K2" s="11" t="s">
        <v>72</v>
      </c>
      <c r="L2" s="12">
        <v>46222.37744916667</v>
      </c>
      <c r="M2" s="11" t="s">
        <v>75</v>
      </c>
      <c r="N2" s="9">
        <v>2.0</v>
      </c>
    </row>
    <row r="3">
      <c r="A3" s="11" t="s">
        <v>112</v>
      </c>
      <c r="B3" s="11" t="s">
        <v>108</v>
      </c>
      <c r="C3" s="11" t="s">
        <v>77</v>
      </c>
      <c r="D3" s="11" t="s">
        <v>79</v>
      </c>
      <c r="E3" s="11" t="s">
        <v>109</v>
      </c>
      <c r="F3" s="11" t="s">
        <v>110</v>
      </c>
      <c r="G3" s="11" t="s">
        <v>111</v>
      </c>
      <c r="H3" s="12">
        <v>46222.37735594907</v>
      </c>
      <c r="I3" s="13">
        <v>46222.37749486111</v>
      </c>
      <c r="J3" s="12">
        <v>46222.37735672454</v>
      </c>
      <c r="K3" s="11" t="s">
        <v>72</v>
      </c>
      <c r="L3" s="12">
        <v>46222.37751011574</v>
      </c>
      <c r="M3" s="11" t="s">
        <v>75</v>
      </c>
      <c r="N3" s="9">
        <v>2.0</v>
      </c>
    </row>
    <row r="4">
      <c r="A4" s="11" t="s">
        <v>113</v>
      </c>
      <c r="B4" s="11" t="s">
        <v>114</v>
      </c>
      <c r="C4" s="11" t="s">
        <v>81</v>
      </c>
      <c r="D4" s="11" t="s">
        <v>83</v>
      </c>
      <c r="E4" s="11" t="s">
        <v>115</v>
      </c>
      <c r="F4" s="11" t="s">
        <v>116</v>
      </c>
      <c r="G4" s="11" t="s">
        <v>111</v>
      </c>
      <c r="H4" s="12">
        <v>46222.379439895834</v>
      </c>
      <c r="I4" s="13">
        <v>46222.379518182875</v>
      </c>
      <c r="J4" s="12">
        <v>46222.37944087963</v>
      </c>
      <c r="K4" s="11" t="s">
        <v>72</v>
      </c>
      <c r="L4" s="12">
        <v>46222.379536064815</v>
      </c>
      <c r="M4" s="11" t="s">
        <v>75</v>
      </c>
      <c r="N4" s="9">
        <v>2.0</v>
      </c>
    </row>
  </sheetData>
  <autoFilter ref="$A$1:$P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25"/>
    <col customWidth="1" hidden="1" min="10" max="16" width="18.25"/>
    <col customWidth="1" min="17" max="18" width="18.25"/>
  </cols>
  <sheetData>
    <row r="1">
      <c r="A1" s="10" t="s">
        <v>117</v>
      </c>
      <c r="B1" s="10" t="s">
        <v>118</v>
      </c>
      <c r="C1" s="10" t="s">
        <v>119</v>
      </c>
      <c r="D1" s="10" t="s">
        <v>120</v>
      </c>
      <c r="E1" s="10" t="s">
        <v>121</v>
      </c>
      <c r="F1" s="10" t="s">
        <v>122</v>
      </c>
      <c r="G1" s="10" t="s">
        <v>123</v>
      </c>
      <c r="H1" s="10" t="s">
        <v>124</v>
      </c>
      <c r="I1" s="10" t="s">
        <v>125</v>
      </c>
      <c r="J1" s="10" t="s">
        <v>59</v>
      </c>
      <c r="K1" s="10" t="s">
        <v>60</v>
      </c>
      <c r="L1" s="10" t="s">
        <v>61</v>
      </c>
      <c r="M1" s="10" t="s">
        <v>62</v>
      </c>
      <c r="N1" s="10" t="s">
        <v>63</v>
      </c>
      <c r="O1" s="10" t="s">
        <v>64</v>
      </c>
      <c r="P1" s="10" t="s">
        <v>65</v>
      </c>
      <c r="Q1" s="10" t="s">
        <v>126</v>
      </c>
      <c r="R1" s="10" t="s">
        <v>127</v>
      </c>
    </row>
    <row r="2">
      <c r="A2" s="11" t="s">
        <v>128</v>
      </c>
      <c r="B2" s="12">
        <v>46222.35291920139</v>
      </c>
      <c r="C2" s="11" t="s">
        <v>75</v>
      </c>
      <c r="D2" s="11" t="s">
        <v>129</v>
      </c>
      <c r="E2" s="11" t="s">
        <v>75</v>
      </c>
      <c r="F2" s="11" t="s">
        <v>130</v>
      </c>
      <c r="H2" s="11" t="s">
        <v>131</v>
      </c>
      <c r="I2" s="11" t="s">
        <v>132</v>
      </c>
      <c r="J2" s="12">
        <v>46222.352919212964</v>
      </c>
      <c r="K2" s="11" t="s">
        <v>75</v>
      </c>
      <c r="L2" s="12">
        <v>46222.352919212964</v>
      </c>
      <c r="M2" s="11" t="s">
        <v>75</v>
      </c>
      <c r="N2" s="9">
        <v>1.0</v>
      </c>
      <c r="Q2" s="11" t="s">
        <v>75</v>
      </c>
    </row>
    <row r="3">
      <c r="A3" s="11" t="s">
        <v>133</v>
      </c>
      <c r="B3" s="12">
        <v>46222.35539041666</v>
      </c>
      <c r="C3" s="11" t="s">
        <v>72</v>
      </c>
      <c r="D3" s="11" t="s">
        <v>134</v>
      </c>
      <c r="E3" s="11" t="s">
        <v>135</v>
      </c>
      <c r="H3" s="11" t="s">
        <v>136</v>
      </c>
      <c r="I3" s="11" t="s">
        <v>137</v>
      </c>
      <c r="J3" s="12">
        <v>46222.35539041666</v>
      </c>
      <c r="K3" s="11" t="s">
        <v>72</v>
      </c>
      <c r="L3" s="12">
        <v>46222.35539041666</v>
      </c>
      <c r="M3" s="11" t="s">
        <v>72</v>
      </c>
      <c r="N3" s="9">
        <v>1.0</v>
      </c>
      <c r="Q3" s="11" t="s">
        <v>72</v>
      </c>
    </row>
    <row r="4">
      <c r="A4" s="11" t="s">
        <v>138</v>
      </c>
      <c r="B4" s="12">
        <v>46222.355843564816</v>
      </c>
      <c r="C4" s="11" t="s">
        <v>72</v>
      </c>
      <c r="D4" s="11" t="s">
        <v>139</v>
      </c>
      <c r="E4" s="11" t="s">
        <v>140</v>
      </c>
      <c r="F4" s="11" t="s">
        <v>69</v>
      </c>
      <c r="H4" s="11" t="s">
        <v>141</v>
      </c>
      <c r="I4" s="11" t="s">
        <v>132</v>
      </c>
      <c r="J4" s="12">
        <v>46222.355843564816</v>
      </c>
      <c r="K4" s="11" t="s">
        <v>72</v>
      </c>
      <c r="L4" s="12">
        <v>46222.355843564816</v>
      </c>
      <c r="M4" s="11" t="s">
        <v>72</v>
      </c>
      <c r="N4" s="9">
        <v>1.0</v>
      </c>
      <c r="Q4" s="11" t="s">
        <v>72</v>
      </c>
    </row>
    <row r="5">
      <c r="A5" s="11" t="s">
        <v>142</v>
      </c>
      <c r="B5" s="12">
        <v>46222.35669840278</v>
      </c>
      <c r="C5" s="11" t="s">
        <v>72</v>
      </c>
      <c r="D5" s="11" t="s">
        <v>143</v>
      </c>
      <c r="E5" s="11" t="s">
        <v>144</v>
      </c>
      <c r="F5" s="11" t="s">
        <v>69</v>
      </c>
      <c r="G5" s="11" t="s">
        <v>145</v>
      </c>
      <c r="H5" s="11" t="s">
        <v>146</v>
      </c>
      <c r="I5" s="11" t="s">
        <v>132</v>
      </c>
      <c r="J5" s="12">
        <v>46222.35669863426</v>
      </c>
      <c r="K5" s="11" t="s">
        <v>72</v>
      </c>
      <c r="L5" s="12">
        <v>46222.35669863426</v>
      </c>
      <c r="M5" s="11" t="s">
        <v>72</v>
      </c>
      <c r="N5" s="9">
        <v>1.0</v>
      </c>
      <c r="Q5" s="11" t="s">
        <v>72</v>
      </c>
    </row>
    <row r="6">
      <c r="A6" s="11" t="s">
        <v>147</v>
      </c>
      <c r="B6" s="12">
        <v>46222.35673550926</v>
      </c>
      <c r="C6" s="11" t="s">
        <v>72</v>
      </c>
      <c r="D6" s="11" t="s">
        <v>148</v>
      </c>
      <c r="E6" s="11" t="s">
        <v>135</v>
      </c>
      <c r="H6" s="11" t="s">
        <v>149</v>
      </c>
      <c r="I6" s="11" t="s">
        <v>137</v>
      </c>
      <c r="J6" s="12">
        <v>46222.35673550926</v>
      </c>
      <c r="K6" s="11" t="s">
        <v>72</v>
      </c>
      <c r="L6" s="12">
        <v>46222.35673550926</v>
      </c>
      <c r="M6" s="11" t="s">
        <v>72</v>
      </c>
      <c r="N6" s="9">
        <v>1.0</v>
      </c>
      <c r="Q6" s="11" t="s">
        <v>72</v>
      </c>
    </row>
    <row r="7">
      <c r="A7" s="11" t="s">
        <v>150</v>
      </c>
      <c r="B7" s="12">
        <v>46222.35682710649</v>
      </c>
      <c r="C7" s="11" t="s">
        <v>72</v>
      </c>
      <c r="D7" s="11" t="s">
        <v>143</v>
      </c>
      <c r="E7" s="11" t="s">
        <v>144</v>
      </c>
      <c r="F7" s="11" t="s">
        <v>69</v>
      </c>
      <c r="G7" s="11" t="s">
        <v>146</v>
      </c>
      <c r="H7" s="11" t="s">
        <v>151</v>
      </c>
      <c r="I7" s="11" t="s">
        <v>132</v>
      </c>
      <c r="J7" s="12">
        <v>46222.35682724537</v>
      </c>
      <c r="K7" s="11" t="s">
        <v>72</v>
      </c>
      <c r="L7" s="12">
        <v>46222.35682724537</v>
      </c>
      <c r="M7" s="11" t="s">
        <v>72</v>
      </c>
      <c r="N7" s="9">
        <v>1.0</v>
      </c>
      <c r="Q7" s="11" t="s">
        <v>72</v>
      </c>
    </row>
    <row r="8">
      <c r="A8" s="11" t="s">
        <v>152</v>
      </c>
      <c r="B8" s="12">
        <v>46222.3573603125</v>
      </c>
      <c r="C8" s="11" t="s">
        <v>72</v>
      </c>
      <c r="D8" s="11" t="s">
        <v>139</v>
      </c>
      <c r="E8" s="11" t="s">
        <v>140</v>
      </c>
      <c r="F8" s="11" t="s">
        <v>69</v>
      </c>
      <c r="H8" s="11" t="s">
        <v>141</v>
      </c>
      <c r="I8" s="11" t="s">
        <v>132</v>
      </c>
      <c r="J8" s="12">
        <v>46222.3573603125</v>
      </c>
      <c r="K8" s="11" t="s">
        <v>72</v>
      </c>
      <c r="L8" s="12">
        <v>46222.3573603125</v>
      </c>
      <c r="M8" s="11" t="s">
        <v>72</v>
      </c>
      <c r="N8" s="9">
        <v>1.0</v>
      </c>
      <c r="Q8" s="11" t="s">
        <v>72</v>
      </c>
    </row>
    <row r="9">
      <c r="A9" s="11" t="s">
        <v>153</v>
      </c>
      <c r="B9" s="12">
        <v>46222.36040763889</v>
      </c>
      <c r="C9" s="11" t="s">
        <v>72</v>
      </c>
      <c r="D9" s="11" t="s">
        <v>154</v>
      </c>
      <c r="E9" s="11" t="s">
        <v>144</v>
      </c>
      <c r="F9" s="11" t="s">
        <v>77</v>
      </c>
      <c r="H9" s="11" t="s">
        <v>155</v>
      </c>
      <c r="I9" s="11" t="s">
        <v>132</v>
      </c>
      <c r="J9" s="12">
        <v>46222.36040774306</v>
      </c>
      <c r="K9" s="11" t="s">
        <v>72</v>
      </c>
      <c r="L9" s="12">
        <v>46222.36040774306</v>
      </c>
      <c r="M9" s="11" t="s">
        <v>72</v>
      </c>
      <c r="N9" s="9">
        <v>1.0</v>
      </c>
      <c r="Q9" s="11" t="s">
        <v>72</v>
      </c>
    </row>
    <row r="10">
      <c r="A10" s="11" t="s">
        <v>156</v>
      </c>
      <c r="B10" s="12">
        <v>46222.36180013889</v>
      </c>
      <c r="C10" s="11" t="s">
        <v>72</v>
      </c>
      <c r="D10" s="11" t="s">
        <v>143</v>
      </c>
      <c r="E10" s="11" t="s">
        <v>144</v>
      </c>
      <c r="F10" s="11" t="s">
        <v>77</v>
      </c>
      <c r="G10" s="11" t="s">
        <v>155</v>
      </c>
      <c r="H10" s="11" t="s">
        <v>157</v>
      </c>
      <c r="I10" s="11" t="s">
        <v>132</v>
      </c>
      <c r="J10" s="12">
        <v>46222.361800300925</v>
      </c>
      <c r="K10" s="11" t="s">
        <v>72</v>
      </c>
      <c r="L10" s="12">
        <v>46222.361800300925</v>
      </c>
      <c r="M10" s="11" t="s">
        <v>72</v>
      </c>
      <c r="N10" s="9">
        <v>1.0</v>
      </c>
      <c r="Q10" s="11" t="s">
        <v>72</v>
      </c>
    </row>
    <row r="11">
      <c r="A11" s="11" t="s">
        <v>158</v>
      </c>
      <c r="B11" s="12">
        <v>46222.36291108796</v>
      </c>
      <c r="C11" s="11" t="s">
        <v>72</v>
      </c>
      <c r="D11" s="11" t="s">
        <v>154</v>
      </c>
      <c r="E11" s="11" t="s">
        <v>144</v>
      </c>
      <c r="F11" s="11" t="s">
        <v>81</v>
      </c>
      <c r="H11" s="11" t="s">
        <v>159</v>
      </c>
      <c r="I11" s="11" t="s">
        <v>132</v>
      </c>
      <c r="J11" s="12">
        <v>46222.3629112037</v>
      </c>
      <c r="K11" s="11" t="s">
        <v>72</v>
      </c>
      <c r="L11" s="12">
        <v>46222.3629112037</v>
      </c>
      <c r="M11" s="11" t="s">
        <v>72</v>
      </c>
      <c r="N11" s="9">
        <v>1.0</v>
      </c>
      <c r="Q11" s="11" t="s">
        <v>72</v>
      </c>
    </row>
    <row r="12">
      <c r="A12" s="11" t="s">
        <v>160</v>
      </c>
      <c r="B12" s="12">
        <v>46222.36550453704</v>
      </c>
      <c r="C12" s="11" t="s">
        <v>79</v>
      </c>
      <c r="D12" s="11" t="s">
        <v>139</v>
      </c>
      <c r="E12" s="11" t="s">
        <v>140</v>
      </c>
      <c r="F12" s="11" t="s">
        <v>77</v>
      </c>
      <c r="H12" s="11" t="s">
        <v>161</v>
      </c>
      <c r="I12" s="11" t="s">
        <v>132</v>
      </c>
      <c r="J12" s="12">
        <v>46222.36550453704</v>
      </c>
      <c r="K12" s="11" t="s">
        <v>79</v>
      </c>
      <c r="L12" s="12">
        <v>46222.36550453704</v>
      </c>
      <c r="M12" s="11" t="s">
        <v>79</v>
      </c>
      <c r="N12" s="9">
        <v>1.0</v>
      </c>
      <c r="Q12" s="11" t="s">
        <v>79</v>
      </c>
    </row>
    <row r="13">
      <c r="A13" s="11" t="s">
        <v>162</v>
      </c>
      <c r="B13" s="12">
        <v>46222.365892500005</v>
      </c>
      <c r="C13" s="11" t="s">
        <v>79</v>
      </c>
      <c r="D13" s="11" t="s">
        <v>163</v>
      </c>
      <c r="E13" s="11" t="s">
        <v>135</v>
      </c>
      <c r="H13" s="11" t="s">
        <v>164</v>
      </c>
      <c r="I13" s="11" t="s">
        <v>137</v>
      </c>
      <c r="J13" s="12">
        <v>46222.365892511574</v>
      </c>
      <c r="K13" s="11" t="s">
        <v>79</v>
      </c>
      <c r="L13" s="12">
        <v>46222.365892511574</v>
      </c>
      <c r="M13" s="11" t="s">
        <v>79</v>
      </c>
      <c r="N13" s="9">
        <v>1.0</v>
      </c>
      <c r="Q13" s="11" t="s">
        <v>79</v>
      </c>
    </row>
    <row r="14">
      <c r="A14" s="11" t="s">
        <v>165</v>
      </c>
      <c r="B14" s="12">
        <v>46222.36835143519</v>
      </c>
      <c r="C14" s="11" t="s">
        <v>166</v>
      </c>
      <c r="D14" s="11" t="s">
        <v>134</v>
      </c>
      <c r="E14" s="11" t="s">
        <v>135</v>
      </c>
      <c r="H14" s="11" t="s">
        <v>136</v>
      </c>
      <c r="I14" s="11" t="s">
        <v>137</v>
      </c>
      <c r="J14" s="12">
        <v>46222.368351446756</v>
      </c>
      <c r="K14" s="11" t="s">
        <v>166</v>
      </c>
      <c r="L14" s="12">
        <v>46222.368351446756</v>
      </c>
      <c r="M14" s="11" t="s">
        <v>166</v>
      </c>
      <c r="N14" s="9">
        <v>1.0</v>
      </c>
      <c r="Q14" s="11" t="s">
        <v>166</v>
      </c>
    </row>
    <row r="15">
      <c r="A15" s="11" t="s">
        <v>167</v>
      </c>
      <c r="B15" s="12">
        <v>46222.36871077547</v>
      </c>
      <c r="C15" s="11" t="s">
        <v>83</v>
      </c>
      <c r="D15" s="11" t="s">
        <v>139</v>
      </c>
      <c r="E15" s="11" t="s">
        <v>140</v>
      </c>
      <c r="F15" s="11" t="s">
        <v>81</v>
      </c>
      <c r="H15" s="11" t="s">
        <v>168</v>
      </c>
      <c r="I15" s="11" t="s">
        <v>132</v>
      </c>
      <c r="J15" s="12">
        <v>46222.368710787036</v>
      </c>
      <c r="K15" s="11" t="s">
        <v>83</v>
      </c>
      <c r="L15" s="12">
        <v>46222.368710787036</v>
      </c>
      <c r="M15" s="11" t="s">
        <v>83</v>
      </c>
      <c r="N15" s="9">
        <v>1.0</v>
      </c>
      <c r="Q15" s="11" t="s">
        <v>83</v>
      </c>
    </row>
    <row r="16">
      <c r="A16" s="11" t="s">
        <v>169</v>
      </c>
      <c r="B16" s="12">
        <v>46222.37054974537</v>
      </c>
      <c r="C16" s="11" t="s">
        <v>72</v>
      </c>
      <c r="D16" s="11" t="s">
        <v>139</v>
      </c>
      <c r="E16" s="11" t="s">
        <v>140</v>
      </c>
      <c r="F16" s="11" t="s">
        <v>69</v>
      </c>
      <c r="H16" s="11" t="s">
        <v>141</v>
      </c>
      <c r="I16" s="11" t="s">
        <v>132</v>
      </c>
      <c r="J16" s="12">
        <v>46222.370549756946</v>
      </c>
      <c r="K16" s="11" t="s">
        <v>72</v>
      </c>
      <c r="L16" s="12">
        <v>46222.370549756946</v>
      </c>
      <c r="M16" s="11" t="s">
        <v>72</v>
      </c>
      <c r="N16" s="9">
        <v>1.0</v>
      </c>
      <c r="Q16" s="11" t="s">
        <v>72</v>
      </c>
    </row>
    <row r="17">
      <c r="A17" s="11" t="s">
        <v>170</v>
      </c>
      <c r="B17" s="12">
        <v>46222.37318458333</v>
      </c>
      <c r="C17" s="11" t="s">
        <v>72</v>
      </c>
      <c r="D17" s="11" t="s">
        <v>154</v>
      </c>
      <c r="E17" s="11" t="s">
        <v>171</v>
      </c>
      <c r="F17" s="11" t="s">
        <v>172</v>
      </c>
      <c r="H17" s="11" t="s">
        <v>173</v>
      </c>
      <c r="I17" s="11" t="s">
        <v>132</v>
      </c>
      <c r="J17" s="12">
        <v>46222.37318465278</v>
      </c>
      <c r="K17" s="11" t="s">
        <v>72</v>
      </c>
      <c r="L17" s="12">
        <v>46222.37318465278</v>
      </c>
      <c r="M17" s="11" t="s">
        <v>72</v>
      </c>
      <c r="N17" s="9">
        <v>1.0</v>
      </c>
      <c r="Q17" s="11" t="s">
        <v>72</v>
      </c>
    </row>
    <row r="18">
      <c r="A18" s="11" t="s">
        <v>174</v>
      </c>
      <c r="B18" s="12">
        <v>46222.375037777776</v>
      </c>
      <c r="C18" s="11" t="s">
        <v>72</v>
      </c>
      <c r="D18" s="11" t="s">
        <v>154</v>
      </c>
      <c r="E18" s="11" t="s">
        <v>175</v>
      </c>
      <c r="F18" s="11" t="s">
        <v>176</v>
      </c>
      <c r="H18" s="11" t="s">
        <v>177</v>
      </c>
      <c r="I18" s="11" t="s">
        <v>132</v>
      </c>
      <c r="J18" s="12">
        <v>46222.375037777776</v>
      </c>
      <c r="K18" s="11" t="s">
        <v>72</v>
      </c>
      <c r="L18" s="12">
        <v>46222.375037777776</v>
      </c>
      <c r="M18" s="11" t="s">
        <v>72</v>
      </c>
      <c r="N18" s="9">
        <v>1.0</v>
      </c>
      <c r="Q18" s="11" t="s">
        <v>72</v>
      </c>
    </row>
    <row r="19">
      <c r="A19" s="11" t="s">
        <v>178</v>
      </c>
      <c r="B19" s="12">
        <v>46222.37619060185</v>
      </c>
      <c r="C19" s="11" t="s">
        <v>72</v>
      </c>
      <c r="D19" s="11" t="s">
        <v>179</v>
      </c>
      <c r="E19" s="11" t="s">
        <v>180</v>
      </c>
      <c r="F19" s="11" t="s">
        <v>172</v>
      </c>
      <c r="H19" s="11" t="s">
        <v>181</v>
      </c>
      <c r="I19" s="11" t="s">
        <v>132</v>
      </c>
      <c r="J19" s="12">
        <v>46222.37619060185</v>
      </c>
      <c r="K19" s="11" t="s">
        <v>72</v>
      </c>
      <c r="L19" s="12">
        <v>46222.37619060185</v>
      </c>
      <c r="M19" s="11" t="s">
        <v>72</v>
      </c>
      <c r="N19" s="9">
        <v>1.0</v>
      </c>
      <c r="Q19" s="11" t="s">
        <v>72</v>
      </c>
    </row>
    <row r="20">
      <c r="A20" s="11" t="s">
        <v>182</v>
      </c>
      <c r="B20" s="12">
        <v>46222.377199386574</v>
      </c>
      <c r="C20" s="11" t="s">
        <v>72</v>
      </c>
      <c r="D20" s="11" t="s">
        <v>143</v>
      </c>
      <c r="E20" s="11" t="s">
        <v>171</v>
      </c>
      <c r="F20" s="11" t="s">
        <v>172</v>
      </c>
      <c r="G20" s="11" t="s">
        <v>183</v>
      </c>
      <c r="H20" s="11" t="s">
        <v>184</v>
      </c>
      <c r="I20" s="11" t="s">
        <v>132</v>
      </c>
      <c r="J20" s="12">
        <v>46222.377199490744</v>
      </c>
      <c r="K20" s="11" t="s">
        <v>72</v>
      </c>
      <c r="L20" s="12">
        <v>46222.377199490744</v>
      </c>
      <c r="M20" s="11" t="s">
        <v>72</v>
      </c>
      <c r="N20" s="9">
        <v>1.0</v>
      </c>
      <c r="Q20" s="11" t="s">
        <v>72</v>
      </c>
    </row>
    <row r="21">
      <c r="A21" s="11" t="s">
        <v>185</v>
      </c>
      <c r="B21" s="12">
        <v>46222.377620115745</v>
      </c>
      <c r="C21" s="11" t="s">
        <v>72</v>
      </c>
      <c r="D21" s="11" t="s">
        <v>186</v>
      </c>
      <c r="E21" s="11" t="s">
        <v>180</v>
      </c>
      <c r="F21" s="11" t="s">
        <v>172</v>
      </c>
      <c r="G21" s="11" t="s">
        <v>183</v>
      </c>
      <c r="H21" s="11" t="s">
        <v>184</v>
      </c>
      <c r="I21" s="11" t="s">
        <v>132</v>
      </c>
      <c r="J21" s="12">
        <v>46222.37762023148</v>
      </c>
      <c r="K21" s="11" t="s">
        <v>72</v>
      </c>
      <c r="L21" s="12">
        <v>46222.37762023148</v>
      </c>
      <c r="M21" s="11" t="s">
        <v>72</v>
      </c>
      <c r="N21" s="9">
        <v>1.0</v>
      </c>
      <c r="Q21" s="11" t="s">
        <v>72</v>
      </c>
    </row>
    <row r="22">
      <c r="A22" s="11" t="s">
        <v>187</v>
      </c>
      <c r="B22" s="12">
        <v>46222.37870984954</v>
      </c>
      <c r="C22" s="11" t="s">
        <v>72</v>
      </c>
      <c r="D22" s="11" t="s">
        <v>143</v>
      </c>
      <c r="E22" s="11" t="s">
        <v>171</v>
      </c>
      <c r="F22" s="11" t="s">
        <v>172</v>
      </c>
      <c r="G22" s="11" t="s">
        <v>184</v>
      </c>
      <c r="H22" s="11" t="s">
        <v>188</v>
      </c>
      <c r="I22" s="11" t="s">
        <v>132</v>
      </c>
      <c r="J22" s="12">
        <v>46222.378710219906</v>
      </c>
      <c r="K22" s="11" t="s">
        <v>72</v>
      </c>
      <c r="L22" s="12">
        <v>46222.37871023148</v>
      </c>
      <c r="M22" s="11" t="s">
        <v>72</v>
      </c>
      <c r="N22" s="9">
        <v>1.0</v>
      </c>
      <c r="Q22" s="11" t="s">
        <v>72</v>
      </c>
    </row>
    <row r="23">
      <c r="A23" s="11" t="s">
        <v>189</v>
      </c>
      <c r="B23" s="12">
        <v>46222.37882528935</v>
      </c>
      <c r="C23" s="11" t="s">
        <v>72</v>
      </c>
      <c r="D23" s="11" t="s">
        <v>190</v>
      </c>
      <c r="E23" s="11" t="s">
        <v>180</v>
      </c>
      <c r="F23" s="11" t="s">
        <v>172</v>
      </c>
      <c r="G23" s="11" t="s">
        <v>184</v>
      </c>
      <c r="H23" s="11" t="s">
        <v>188</v>
      </c>
      <c r="I23" s="11" t="s">
        <v>132</v>
      </c>
      <c r="J23" s="12">
        <v>46222.37882557871</v>
      </c>
      <c r="K23" s="11" t="s">
        <v>72</v>
      </c>
      <c r="L23" s="12">
        <v>46222.37882557871</v>
      </c>
      <c r="M23" s="11" t="s">
        <v>72</v>
      </c>
      <c r="N23" s="9">
        <v>1.0</v>
      </c>
      <c r="Q23" s="11" t="s">
        <v>72</v>
      </c>
    </row>
    <row r="24">
      <c r="A24" s="11" t="s">
        <v>191</v>
      </c>
      <c r="B24" s="12">
        <v>46222.37935803241</v>
      </c>
      <c r="C24" s="11" t="s">
        <v>72</v>
      </c>
      <c r="D24" s="11" t="s">
        <v>143</v>
      </c>
      <c r="E24" s="11" t="s">
        <v>171</v>
      </c>
      <c r="F24" s="11" t="s">
        <v>172</v>
      </c>
      <c r="G24" s="11" t="s">
        <v>192</v>
      </c>
      <c r="H24" s="11" t="s">
        <v>193</v>
      </c>
      <c r="I24" s="11" t="s">
        <v>132</v>
      </c>
      <c r="J24" s="12">
        <v>46222.37935834491</v>
      </c>
      <c r="K24" s="11" t="s">
        <v>72</v>
      </c>
      <c r="L24" s="12">
        <v>46222.37935834491</v>
      </c>
      <c r="M24" s="11" t="s">
        <v>72</v>
      </c>
      <c r="N24" s="9">
        <v>1.0</v>
      </c>
      <c r="Q24" s="11" t="s">
        <v>72</v>
      </c>
    </row>
    <row r="25">
      <c r="A25" s="11" t="s">
        <v>194</v>
      </c>
      <c r="B25" s="12">
        <v>46222.37958354167</v>
      </c>
      <c r="C25" s="11" t="s">
        <v>72</v>
      </c>
      <c r="D25" s="11" t="s">
        <v>195</v>
      </c>
      <c r="E25" s="11" t="s">
        <v>180</v>
      </c>
      <c r="F25" s="11" t="s">
        <v>172</v>
      </c>
      <c r="G25" s="11" t="s">
        <v>192</v>
      </c>
      <c r="H25" s="11" t="s">
        <v>193</v>
      </c>
      <c r="I25" s="11" t="s">
        <v>132</v>
      </c>
      <c r="J25" s="12">
        <v>46222.37958381945</v>
      </c>
      <c r="K25" s="11" t="s">
        <v>72</v>
      </c>
      <c r="L25" s="12">
        <v>46222.37958381945</v>
      </c>
      <c r="M25" s="11" t="s">
        <v>72</v>
      </c>
      <c r="N25" s="9">
        <v>1.0</v>
      </c>
      <c r="Q25" s="11" t="s">
        <v>72</v>
      </c>
    </row>
    <row r="26">
      <c r="A26" s="11" t="s">
        <v>196</v>
      </c>
      <c r="B26" s="12">
        <v>46222.38076932871</v>
      </c>
      <c r="C26" s="11" t="s">
        <v>72</v>
      </c>
      <c r="D26" s="11" t="s">
        <v>197</v>
      </c>
      <c r="E26" s="11" t="s">
        <v>180</v>
      </c>
      <c r="F26" s="11" t="s">
        <v>172</v>
      </c>
      <c r="H26" s="11" t="s">
        <v>198</v>
      </c>
      <c r="I26" s="11" t="s">
        <v>132</v>
      </c>
      <c r="J26" s="12">
        <v>46222.38076932871</v>
      </c>
      <c r="K26" s="11" t="s">
        <v>72</v>
      </c>
      <c r="L26" s="12">
        <v>46222.38076932871</v>
      </c>
      <c r="M26" s="11" t="s">
        <v>72</v>
      </c>
      <c r="N26" s="9">
        <v>1.0</v>
      </c>
      <c r="Q26" s="11" t="s">
        <v>72</v>
      </c>
    </row>
    <row r="27">
      <c r="A27" s="11" t="s">
        <v>199</v>
      </c>
      <c r="B27" s="12">
        <v>46222.38123422454</v>
      </c>
      <c r="C27" s="11" t="s">
        <v>72</v>
      </c>
      <c r="D27" s="11" t="s">
        <v>154</v>
      </c>
      <c r="E27" s="11" t="s">
        <v>200</v>
      </c>
      <c r="F27" s="11" t="s">
        <v>201</v>
      </c>
      <c r="H27" s="11" t="s">
        <v>202</v>
      </c>
      <c r="I27" s="11" t="s">
        <v>132</v>
      </c>
      <c r="J27" s="12">
        <v>46222.38123425926</v>
      </c>
      <c r="K27" s="11" t="s">
        <v>72</v>
      </c>
      <c r="L27" s="12">
        <v>46222.38123425926</v>
      </c>
      <c r="M27" s="11" t="s">
        <v>72</v>
      </c>
      <c r="N27" s="9">
        <v>1.0</v>
      </c>
      <c r="Q27" s="11" t="s">
        <v>72</v>
      </c>
    </row>
    <row r="28">
      <c r="A28" s="11" t="s">
        <v>203</v>
      </c>
      <c r="B28" s="12">
        <v>46222.38142773148</v>
      </c>
      <c r="C28" s="11" t="s">
        <v>72</v>
      </c>
      <c r="D28" s="11" t="s">
        <v>204</v>
      </c>
      <c r="E28" s="11" t="s">
        <v>180</v>
      </c>
      <c r="F28" s="11" t="s">
        <v>172</v>
      </c>
      <c r="H28" s="11" t="s">
        <v>198</v>
      </c>
      <c r="I28" s="11" t="s">
        <v>132</v>
      </c>
      <c r="J28" s="12">
        <v>46222.38142773148</v>
      </c>
      <c r="K28" s="11" t="s">
        <v>72</v>
      </c>
      <c r="L28" s="12">
        <v>46222.38142773148</v>
      </c>
      <c r="M28" s="11" t="s">
        <v>72</v>
      </c>
      <c r="N28" s="9">
        <v>1.0</v>
      </c>
      <c r="Q28" s="11" t="s">
        <v>72</v>
      </c>
    </row>
    <row r="29">
      <c r="A29" s="11" t="s">
        <v>205</v>
      </c>
      <c r="B29" s="12">
        <v>46222.38282731481</v>
      </c>
      <c r="C29" s="11" t="s">
        <v>79</v>
      </c>
      <c r="D29" s="11" t="s">
        <v>139</v>
      </c>
      <c r="E29" s="11" t="s">
        <v>140</v>
      </c>
      <c r="F29" s="11" t="s">
        <v>77</v>
      </c>
      <c r="H29" s="11" t="s">
        <v>161</v>
      </c>
      <c r="I29" s="11" t="s">
        <v>132</v>
      </c>
      <c r="J29" s="12">
        <v>46222.38282731481</v>
      </c>
      <c r="K29" s="11" t="s">
        <v>79</v>
      </c>
      <c r="L29" s="12">
        <v>46222.38282731481</v>
      </c>
      <c r="M29" s="11" t="s">
        <v>79</v>
      </c>
      <c r="N29" s="9">
        <v>1.0</v>
      </c>
      <c r="Q29" s="11" t="s">
        <v>79</v>
      </c>
    </row>
  </sheetData>
  <autoFilter ref="$A$1:$P$10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7.63"/>
  </cols>
  <sheetData>
    <row r="1">
      <c r="A1" s="14" t="s">
        <v>206</v>
      </c>
      <c r="B1" s="14" t="s">
        <v>207</v>
      </c>
      <c r="C1" s="14" t="s">
        <v>208</v>
      </c>
      <c r="D1" s="14" t="s">
        <v>209</v>
      </c>
      <c r="E1" s="14" t="s">
        <v>210</v>
      </c>
      <c r="F1" s="14" t="s">
        <v>211</v>
      </c>
      <c r="G1" s="14" t="s">
        <v>212</v>
      </c>
      <c r="H1" s="14" t="s">
        <v>213</v>
      </c>
    </row>
    <row r="2">
      <c r="A2" s="5" t="s">
        <v>214</v>
      </c>
      <c r="B2" s="5" t="s">
        <v>215</v>
      </c>
      <c r="C2" s="5" t="s">
        <v>216</v>
      </c>
      <c r="D2" s="5" t="s">
        <v>75</v>
      </c>
      <c r="E2" s="5" t="s">
        <v>217</v>
      </c>
      <c r="F2" s="5" t="b">
        <v>1</v>
      </c>
      <c r="G2" s="5" t="b">
        <v>1</v>
      </c>
      <c r="H2" s="7"/>
    </row>
    <row r="3">
      <c r="A3" s="5" t="s">
        <v>218</v>
      </c>
      <c r="B3" s="5" t="s">
        <v>219</v>
      </c>
      <c r="C3" s="5" t="s">
        <v>216</v>
      </c>
      <c r="D3" s="5" t="s">
        <v>75</v>
      </c>
      <c r="E3" s="5" t="s">
        <v>220</v>
      </c>
      <c r="F3" s="5" t="b">
        <v>1</v>
      </c>
      <c r="G3" s="5" t="b">
        <v>0</v>
      </c>
      <c r="H3" s="7"/>
    </row>
    <row r="4">
      <c r="A4" s="5" t="s">
        <v>221</v>
      </c>
      <c r="B4" s="5" t="s">
        <v>222</v>
      </c>
      <c r="C4" s="5" t="s">
        <v>216</v>
      </c>
      <c r="D4" s="5" t="s">
        <v>75</v>
      </c>
      <c r="E4" s="5" t="s">
        <v>223</v>
      </c>
      <c r="F4" s="5" t="b">
        <v>1</v>
      </c>
      <c r="G4" s="5" t="b">
        <v>1</v>
      </c>
      <c r="H4" s="15">
        <v>46222.35267295139</v>
      </c>
    </row>
    <row r="5">
      <c r="A5" s="5" t="s">
        <v>224</v>
      </c>
      <c r="B5" s="5" t="s">
        <v>225</v>
      </c>
      <c r="C5" s="5" t="s">
        <v>226</v>
      </c>
      <c r="D5" s="5" t="s">
        <v>75</v>
      </c>
      <c r="E5" s="5" t="s">
        <v>227</v>
      </c>
      <c r="F5" s="5" t="b">
        <v>1</v>
      </c>
      <c r="G5" s="5" t="b">
        <v>1</v>
      </c>
      <c r="H5" s="7"/>
    </row>
    <row r="6">
      <c r="A6" s="5" t="s">
        <v>228</v>
      </c>
      <c r="B6" s="5" t="s">
        <v>130</v>
      </c>
      <c r="C6" s="5" t="s">
        <v>216</v>
      </c>
      <c r="D6" s="5" t="s">
        <v>75</v>
      </c>
      <c r="E6" s="5" t="s">
        <v>229</v>
      </c>
      <c r="F6" s="5" t="b">
        <v>1</v>
      </c>
      <c r="G6" s="5" t="b">
        <v>0</v>
      </c>
      <c r="H6" s="15">
        <v>46222.35266021991</v>
      </c>
    </row>
    <row r="7">
      <c r="A7" s="5" t="s">
        <v>230</v>
      </c>
      <c r="B7" s="5" t="s">
        <v>231</v>
      </c>
      <c r="C7" s="5" t="s">
        <v>216</v>
      </c>
      <c r="D7" s="5" t="s">
        <v>232</v>
      </c>
      <c r="E7" s="5" t="s">
        <v>233</v>
      </c>
      <c r="F7" s="16" t="s">
        <v>234</v>
      </c>
      <c r="G7" s="16" t="s">
        <v>235</v>
      </c>
      <c r="H7" s="15">
        <v>46222.35233934028</v>
      </c>
    </row>
    <row r="8">
      <c r="A8" s="5" t="s">
        <v>236</v>
      </c>
      <c r="B8" s="5">
        <v>2026.0</v>
      </c>
      <c r="C8" s="5" t="s">
        <v>216</v>
      </c>
      <c r="D8" s="5" t="s">
        <v>237</v>
      </c>
      <c r="E8" s="5" t="s">
        <v>238</v>
      </c>
      <c r="F8" s="5" t="b">
        <v>1</v>
      </c>
      <c r="G8" s="5" t="b">
        <v>1</v>
      </c>
      <c r="H8" s="7"/>
    </row>
    <row r="9">
      <c r="A9" s="5" t="s">
        <v>239</v>
      </c>
      <c r="B9" s="5" t="s">
        <v>240</v>
      </c>
      <c r="C9" s="5" t="s">
        <v>216</v>
      </c>
      <c r="D9" s="5" t="s">
        <v>75</v>
      </c>
      <c r="E9" s="5" t="s">
        <v>241</v>
      </c>
      <c r="F9" s="5" t="b">
        <v>1</v>
      </c>
      <c r="G9" s="5" t="b">
        <v>1</v>
      </c>
      <c r="H9" s="7"/>
    </row>
    <row r="10">
      <c r="A10" s="5" t="s">
        <v>242</v>
      </c>
      <c r="B10" s="5" t="s">
        <v>243</v>
      </c>
      <c r="C10" s="5" t="s">
        <v>216</v>
      </c>
      <c r="D10" s="5" t="s">
        <v>75</v>
      </c>
      <c r="E10" s="5" t="s">
        <v>244</v>
      </c>
      <c r="F10" s="5" t="b">
        <v>1</v>
      </c>
      <c r="G10" s="5" t="b">
        <v>1</v>
      </c>
      <c r="H10" s="7"/>
    </row>
    <row r="11">
      <c r="A11" s="5" t="s">
        <v>245</v>
      </c>
      <c r="B11" s="5" t="s">
        <v>246</v>
      </c>
      <c r="C11" s="5" t="s">
        <v>216</v>
      </c>
      <c r="D11" s="5" t="s">
        <v>75</v>
      </c>
      <c r="E11" s="5" t="s">
        <v>247</v>
      </c>
      <c r="F11" s="5" t="b">
        <v>1</v>
      </c>
      <c r="G11" s="5" t="b">
        <v>1</v>
      </c>
      <c r="H11" s="7"/>
    </row>
    <row r="12">
      <c r="A12" s="5" t="s">
        <v>248</v>
      </c>
      <c r="B12" s="5" t="s">
        <v>249</v>
      </c>
      <c r="C12" s="5" t="s">
        <v>216</v>
      </c>
      <c r="D12" s="5" t="s">
        <v>75</v>
      </c>
      <c r="E12" s="5" t="s">
        <v>250</v>
      </c>
      <c r="F12" s="5" t="b">
        <v>1</v>
      </c>
      <c r="G12" s="5" t="b">
        <v>1</v>
      </c>
      <c r="H12" s="7"/>
    </row>
    <row r="13">
      <c r="A13" s="5" t="s">
        <v>251</v>
      </c>
      <c r="B13" s="5" t="s">
        <v>252</v>
      </c>
      <c r="C13" s="5" t="s">
        <v>216</v>
      </c>
      <c r="D13" s="5" t="s">
        <v>253</v>
      </c>
      <c r="E13" s="5" t="s">
        <v>254</v>
      </c>
      <c r="F13" s="16" t="s">
        <v>234</v>
      </c>
      <c r="G13" s="16" t="s">
        <v>234</v>
      </c>
      <c r="H13" s="17" t="s">
        <v>255</v>
      </c>
    </row>
    <row r="14">
      <c r="A14" s="5" t="s">
        <v>256</v>
      </c>
      <c r="B14" s="5" t="s">
        <v>257</v>
      </c>
      <c r="C14" s="5" t="s">
        <v>216</v>
      </c>
      <c r="D14" s="5" t="s">
        <v>258</v>
      </c>
      <c r="E14" s="5" t="s">
        <v>259</v>
      </c>
      <c r="F14" s="16" t="s">
        <v>234</v>
      </c>
      <c r="G14" s="16" t="s">
        <v>234</v>
      </c>
      <c r="H14" s="17" t="s">
        <v>255</v>
      </c>
    </row>
    <row r="15">
      <c r="A15" s="5" t="s">
        <v>260</v>
      </c>
      <c r="B15" s="5">
        <v>10.0</v>
      </c>
      <c r="C15" s="5" t="s">
        <v>261</v>
      </c>
      <c r="D15" s="5" t="s">
        <v>262</v>
      </c>
      <c r="E15" s="5" t="s">
        <v>263</v>
      </c>
      <c r="F15" s="5" t="b">
        <v>1</v>
      </c>
      <c r="G15" s="5" t="b">
        <v>1</v>
      </c>
      <c r="H15" s="7"/>
    </row>
    <row r="16">
      <c r="A16" s="5" t="s">
        <v>264</v>
      </c>
      <c r="B16" s="5" t="s">
        <v>265</v>
      </c>
      <c r="C16" s="5" t="s">
        <v>266</v>
      </c>
      <c r="D16" s="5" t="s">
        <v>262</v>
      </c>
      <c r="E16" s="5" t="s">
        <v>267</v>
      </c>
      <c r="F16" s="5" t="b">
        <v>1</v>
      </c>
      <c r="G16" s="5" t="b">
        <v>1</v>
      </c>
      <c r="H16" s="7"/>
    </row>
    <row r="17">
      <c r="A17" s="5" t="s">
        <v>268</v>
      </c>
      <c r="B17" s="5" t="s">
        <v>269</v>
      </c>
      <c r="C17" s="5" t="s">
        <v>216</v>
      </c>
      <c r="D17" s="5" t="s">
        <v>262</v>
      </c>
      <c r="E17" s="5" t="s">
        <v>270</v>
      </c>
      <c r="F17" s="5" t="b">
        <v>1</v>
      </c>
      <c r="G17" s="5" t="b">
        <v>1</v>
      </c>
      <c r="H17" s="15">
        <v>46222.352680474534</v>
      </c>
    </row>
    <row r="18">
      <c r="A18" s="5" t="s">
        <v>271</v>
      </c>
      <c r="B18" s="5" t="b">
        <v>1</v>
      </c>
      <c r="C18" s="5" t="s">
        <v>272</v>
      </c>
      <c r="D18" s="5" t="s">
        <v>273</v>
      </c>
      <c r="E18" s="5" t="s">
        <v>274</v>
      </c>
      <c r="F18" s="5" t="b">
        <v>1</v>
      </c>
      <c r="G18" s="5" t="b">
        <v>1</v>
      </c>
      <c r="H18" s="7"/>
    </row>
    <row r="19">
      <c r="A19" s="5" t="s">
        <v>275</v>
      </c>
      <c r="B19" s="5" t="b">
        <v>1</v>
      </c>
      <c r="C19" s="5" t="s">
        <v>272</v>
      </c>
      <c r="D19" s="5" t="s">
        <v>276</v>
      </c>
      <c r="E19" s="5" t="s">
        <v>277</v>
      </c>
      <c r="F19" s="5" t="b">
        <v>1</v>
      </c>
      <c r="G19" s="5" t="b">
        <v>1</v>
      </c>
      <c r="H19" s="7"/>
    </row>
    <row r="20">
      <c r="A20" s="5" t="s">
        <v>278</v>
      </c>
      <c r="B20" s="5" t="b">
        <v>0</v>
      </c>
      <c r="C20" s="5" t="s">
        <v>272</v>
      </c>
      <c r="D20" s="5" t="s">
        <v>276</v>
      </c>
      <c r="E20" s="5" t="s">
        <v>279</v>
      </c>
      <c r="F20" s="5" t="b">
        <v>1</v>
      </c>
      <c r="G20" s="5" t="b">
        <v>0</v>
      </c>
      <c r="H20" s="7"/>
    </row>
    <row r="21">
      <c r="A21" s="5" t="s">
        <v>280</v>
      </c>
      <c r="B21" s="5">
        <v>25.0</v>
      </c>
      <c r="C21" s="5" t="s">
        <v>261</v>
      </c>
      <c r="D21" s="5" t="s">
        <v>281</v>
      </c>
      <c r="E21" s="5" t="s">
        <v>282</v>
      </c>
      <c r="F21" s="5" t="b">
        <v>1</v>
      </c>
      <c r="G21" s="5" t="b">
        <v>1</v>
      </c>
      <c r="H21" s="7"/>
    </row>
    <row r="22">
      <c r="A22" s="5" t="s">
        <v>283</v>
      </c>
      <c r="B22" s="5">
        <v>300.0</v>
      </c>
      <c r="C22" s="5" t="s">
        <v>261</v>
      </c>
      <c r="D22" s="5" t="s">
        <v>284</v>
      </c>
      <c r="E22" s="5" t="s">
        <v>285</v>
      </c>
      <c r="F22" s="5" t="b">
        <v>1</v>
      </c>
      <c r="G22" s="5" t="b">
        <v>1</v>
      </c>
      <c r="H22" s="7"/>
    </row>
    <row r="23">
      <c r="A23" s="5" t="s">
        <v>286</v>
      </c>
      <c r="B23" s="7"/>
      <c r="C23" s="5" t="s">
        <v>287</v>
      </c>
      <c r="D23" s="5" t="s">
        <v>75</v>
      </c>
      <c r="E23" s="5" t="s">
        <v>288</v>
      </c>
      <c r="F23" s="5" t="b">
        <v>0</v>
      </c>
      <c r="G23" s="5" t="b">
        <v>1</v>
      </c>
      <c r="H23" s="7"/>
    </row>
    <row r="24">
      <c r="A24" s="5" t="s">
        <v>289</v>
      </c>
      <c r="B24" s="18" t="s">
        <v>290</v>
      </c>
      <c r="C24" s="5" t="s">
        <v>216</v>
      </c>
      <c r="D24" s="5" t="s">
        <v>276</v>
      </c>
      <c r="E24" s="5" t="s">
        <v>291</v>
      </c>
      <c r="F24" s="16" t="s">
        <v>234</v>
      </c>
      <c r="G24" s="16" t="s">
        <v>235</v>
      </c>
      <c r="H24" s="17" t="s">
        <v>255</v>
      </c>
    </row>
    <row r="25">
      <c r="A25" s="5" t="s">
        <v>292</v>
      </c>
      <c r="B25" s="5" t="s">
        <v>293</v>
      </c>
      <c r="C25" s="5" t="s">
        <v>216</v>
      </c>
      <c r="D25" s="5" t="s">
        <v>276</v>
      </c>
      <c r="E25" s="5" t="s">
        <v>294</v>
      </c>
      <c r="F25" s="16" t="s">
        <v>234</v>
      </c>
      <c r="G25" s="16" t="s">
        <v>235</v>
      </c>
      <c r="H25" s="17" t="s">
        <v>255</v>
      </c>
    </row>
    <row r="26">
      <c r="A26" s="5" t="s">
        <v>295</v>
      </c>
      <c r="B26" s="5" t="b">
        <v>0</v>
      </c>
      <c r="C26" s="5" t="s">
        <v>272</v>
      </c>
      <c r="D26" s="5" t="s">
        <v>232</v>
      </c>
      <c r="E26" s="5" t="s">
        <v>296</v>
      </c>
      <c r="F26" s="16" t="s">
        <v>234</v>
      </c>
      <c r="G26" s="16" t="s">
        <v>235</v>
      </c>
      <c r="H26" s="15">
        <v>46222.35234761574</v>
      </c>
    </row>
    <row r="27">
      <c r="A27" s="9" t="s">
        <v>297</v>
      </c>
      <c r="B27" s="9" t="s">
        <v>298</v>
      </c>
      <c r="C27" s="9" t="s">
        <v>216</v>
      </c>
      <c r="D27" s="9" t="s">
        <v>253</v>
      </c>
      <c r="E27" s="9" t="s">
        <v>299</v>
      </c>
      <c r="F27" s="19" t="s">
        <v>234</v>
      </c>
      <c r="G27" s="19" t="s">
        <v>234</v>
      </c>
      <c r="H27" s="19" t="s">
        <v>255</v>
      </c>
    </row>
    <row r="28">
      <c r="A28" s="9" t="s">
        <v>300</v>
      </c>
      <c r="B28" s="9" t="s">
        <v>301</v>
      </c>
      <c r="C28" s="9" t="s">
        <v>216</v>
      </c>
      <c r="D28" s="9" t="s">
        <v>232</v>
      </c>
      <c r="E28" s="9" t="s">
        <v>302</v>
      </c>
      <c r="F28" s="19" t="s">
        <v>234</v>
      </c>
      <c r="G28" s="19" t="s">
        <v>235</v>
      </c>
      <c r="H28" s="19" t="s">
        <v>255</v>
      </c>
    </row>
    <row r="29">
      <c r="A29" s="9" t="s">
        <v>303</v>
      </c>
      <c r="B29" s="9" t="s">
        <v>301</v>
      </c>
      <c r="C29" s="9" t="s">
        <v>216</v>
      </c>
      <c r="D29" s="9" t="s">
        <v>262</v>
      </c>
      <c r="E29" s="9" t="s">
        <v>304</v>
      </c>
      <c r="F29" s="19" t="s">
        <v>234</v>
      </c>
      <c r="G29" s="19" t="s">
        <v>235</v>
      </c>
      <c r="H29" s="19" t="s">
        <v>255</v>
      </c>
    </row>
    <row r="30">
      <c r="A30" s="9" t="s">
        <v>305</v>
      </c>
      <c r="B30" s="9" t="s">
        <v>262</v>
      </c>
      <c r="C30" s="9" t="s">
        <v>216</v>
      </c>
      <c r="D30" s="9" t="s">
        <v>262</v>
      </c>
      <c r="E30" s="9" t="s">
        <v>306</v>
      </c>
      <c r="F30" s="19" t="s">
        <v>234</v>
      </c>
      <c r="G30" s="19" t="s">
        <v>234</v>
      </c>
      <c r="H30" s="19" t="s">
        <v>255</v>
      </c>
    </row>
    <row r="31">
      <c r="A31" s="9" t="s">
        <v>307</v>
      </c>
      <c r="B31" s="9" t="s">
        <v>308</v>
      </c>
      <c r="C31" s="9" t="s">
        <v>216</v>
      </c>
      <c r="D31" s="9" t="s">
        <v>309</v>
      </c>
      <c r="E31" s="9" t="s">
        <v>310</v>
      </c>
      <c r="F31" s="19" t="s">
        <v>234</v>
      </c>
      <c r="G31" s="19" t="s">
        <v>234</v>
      </c>
      <c r="H31" s="19" t="s">
        <v>255</v>
      </c>
    </row>
    <row r="32">
      <c r="A32" s="9" t="s">
        <v>311</v>
      </c>
      <c r="B32" s="19" t="s">
        <v>234</v>
      </c>
      <c r="C32" s="9" t="s">
        <v>272</v>
      </c>
      <c r="D32" s="9" t="s">
        <v>232</v>
      </c>
      <c r="E32" s="9" t="s">
        <v>312</v>
      </c>
      <c r="F32" s="19" t="s">
        <v>234</v>
      </c>
      <c r="G32" s="19" t="s">
        <v>235</v>
      </c>
      <c r="H32" s="19" t="s">
        <v>255</v>
      </c>
    </row>
    <row r="33">
      <c r="A33" s="9" t="s">
        <v>313</v>
      </c>
      <c r="B33" s="19" t="s">
        <v>234</v>
      </c>
      <c r="C33" s="9" t="s">
        <v>272</v>
      </c>
      <c r="D33" s="9" t="s">
        <v>314</v>
      </c>
      <c r="E33" s="9" t="s">
        <v>315</v>
      </c>
      <c r="F33" s="19" t="s">
        <v>234</v>
      </c>
      <c r="G33" s="19" t="s">
        <v>234</v>
      </c>
      <c r="H33" s="19" t="s">
        <v>255</v>
      </c>
    </row>
    <row r="34">
      <c r="A34" s="9" t="s">
        <v>316</v>
      </c>
      <c r="B34" s="19" t="s">
        <v>234</v>
      </c>
      <c r="C34" s="9" t="s">
        <v>272</v>
      </c>
      <c r="D34" s="9" t="s">
        <v>314</v>
      </c>
      <c r="E34" s="9" t="s">
        <v>317</v>
      </c>
      <c r="F34" s="19" t="s">
        <v>234</v>
      </c>
      <c r="G34" s="19" t="s">
        <v>234</v>
      </c>
      <c r="H34" s="19" t="s">
        <v>255</v>
      </c>
    </row>
    <row r="35">
      <c r="A35" s="9" t="s">
        <v>318</v>
      </c>
      <c r="B35" s="9" t="s">
        <v>319</v>
      </c>
      <c r="C35" s="9" t="s">
        <v>320</v>
      </c>
      <c r="D35" s="9" t="s">
        <v>314</v>
      </c>
      <c r="E35" s="9" t="s">
        <v>321</v>
      </c>
      <c r="F35" s="19" t="s">
        <v>234</v>
      </c>
      <c r="G35" s="19" t="s">
        <v>234</v>
      </c>
      <c r="H35" s="19" t="s">
        <v>255</v>
      </c>
    </row>
    <row r="36">
      <c r="A36" s="9" t="s">
        <v>322</v>
      </c>
      <c r="B36" s="9" t="s">
        <v>323</v>
      </c>
      <c r="C36" s="9" t="s">
        <v>216</v>
      </c>
      <c r="D36" s="9" t="s">
        <v>309</v>
      </c>
      <c r="E36" s="9" t="s">
        <v>324</v>
      </c>
      <c r="F36" s="19" t="s">
        <v>234</v>
      </c>
      <c r="G36" s="19" t="s">
        <v>235</v>
      </c>
      <c r="H36" s="19" t="s">
        <v>255</v>
      </c>
    </row>
    <row r="37">
      <c r="A37" s="9" t="s">
        <v>325</v>
      </c>
      <c r="B37" s="19" t="s">
        <v>326</v>
      </c>
      <c r="C37" s="9" t="s">
        <v>216</v>
      </c>
      <c r="D37" s="9" t="s">
        <v>232</v>
      </c>
      <c r="E37" s="9" t="s">
        <v>327</v>
      </c>
      <c r="F37" s="19" t="s">
        <v>234</v>
      </c>
      <c r="G37" s="19" t="s">
        <v>234</v>
      </c>
      <c r="H37" s="19" t="s">
        <v>255</v>
      </c>
    </row>
    <row r="38">
      <c r="A38" s="9" t="s">
        <v>328</v>
      </c>
      <c r="B38" s="9" t="s">
        <v>329</v>
      </c>
      <c r="C38" s="9" t="s">
        <v>216</v>
      </c>
      <c r="D38" s="9" t="s">
        <v>253</v>
      </c>
      <c r="E38" s="9" t="s">
        <v>330</v>
      </c>
      <c r="F38" s="9" t="b">
        <v>1</v>
      </c>
      <c r="G38" s="9" t="b">
        <v>1</v>
      </c>
      <c r="H38" s="19" t="s">
        <v>255</v>
      </c>
    </row>
    <row r="39">
      <c r="A39" s="9" t="s">
        <v>331</v>
      </c>
      <c r="B39" s="9" t="s">
        <v>332</v>
      </c>
      <c r="C39" s="9" t="s">
        <v>216</v>
      </c>
      <c r="D39" s="9" t="s">
        <v>253</v>
      </c>
      <c r="E39" s="9" t="s">
        <v>333</v>
      </c>
      <c r="F39" s="9" t="b">
        <v>1</v>
      </c>
      <c r="G39" s="9" t="b">
        <v>0</v>
      </c>
      <c r="H39" s="19" t="s">
        <v>255</v>
      </c>
    </row>
    <row r="40">
      <c r="A40" s="9" t="s">
        <v>334</v>
      </c>
      <c r="B40" s="11" t="s">
        <v>329</v>
      </c>
      <c r="C40" s="9" t="s">
        <v>216</v>
      </c>
      <c r="D40" s="9" t="s">
        <v>237</v>
      </c>
      <c r="E40" s="9" t="s">
        <v>335</v>
      </c>
      <c r="F40" s="9" t="b">
        <v>1</v>
      </c>
      <c r="G40" s="9" t="b">
        <v>1</v>
      </c>
      <c r="H40" s="13">
        <v>46222.352358159726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17.63"/>
  </cols>
  <sheetData>
    <row r="1">
      <c r="A1" s="20" t="s">
        <v>336</v>
      </c>
      <c r="B1" s="20" t="s">
        <v>337</v>
      </c>
      <c r="C1" s="20" t="s">
        <v>338</v>
      </c>
      <c r="D1" s="20" t="s">
        <v>339</v>
      </c>
      <c r="E1" s="20" t="s">
        <v>340</v>
      </c>
      <c r="F1" s="20" t="s">
        <v>341</v>
      </c>
      <c r="G1" s="20" t="s">
        <v>342</v>
      </c>
      <c r="H1" s="20" t="s">
        <v>343</v>
      </c>
      <c r="I1" s="20" t="s">
        <v>344</v>
      </c>
      <c r="J1" s="20" t="s">
        <v>345</v>
      </c>
      <c r="K1" s="20" t="s">
        <v>346</v>
      </c>
      <c r="L1" s="20" t="s">
        <v>347</v>
      </c>
      <c r="M1" s="20" t="s">
        <v>348</v>
      </c>
      <c r="N1" s="20" t="s">
        <v>55</v>
      </c>
      <c r="O1" s="20" t="s">
        <v>213</v>
      </c>
      <c r="P1" s="20" t="s">
        <v>349</v>
      </c>
    </row>
    <row r="2">
      <c r="A2" s="11" t="s">
        <v>172</v>
      </c>
      <c r="B2" s="11">
        <v>2026.0</v>
      </c>
      <c r="C2" s="11" t="s">
        <v>350</v>
      </c>
      <c r="D2" s="11" t="s">
        <v>351</v>
      </c>
      <c r="E2" s="11" t="s">
        <v>352</v>
      </c>
      <c r="F2" s="11" t="s">
        <v>353</v>
      </c>
      <c r="G2" s="21" t="s">
        <v>354</v>
      </c>
      <c r="H2" s="11" t="s">
        <v>355</v>
      </c>
      <c r="I2" s="21" t="s">
        <v>356</v>
      </c>
      <c r="J2" s="11" t="s">
        <v>357</v>
      </c>
      <c r="K2" s="11" t="s">
        <v>358</v>
      </c>
      <c r="L2" s="11" t="s">
        <v>88</v>
      </c>
      <c r="M2" s="11">
        <v>1.0</v>
      </c>
      <c r="N2" s="12">
        <v>46222.373134884256</v>
      </c>
      <c r="O2" s="12">
        <v>46222.38118938658</v>
      </c>
    </row>
  </sheetData>
  <hyperlinks>
    <hyperlink r:id="rId1" ref="G2"/>
    <hyperlink r:id="rId2" ref="I2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>
      <c r="A1" s="20" t="s">
        <v>359</v>
      </c>
      <c r="B1" s="20" t="s">
        <v>360</v>
      </c>
      <c r="C1" s="20" t="s">
        <v>361</v>
      </c>
      <c r="D1" s="20" t="s">
        <v>362</v>
      </c>
      <c r="E1" s="20" t="s">
        <v>363</v>
      </c>
      <c r="F1" s="20" t="s">
        <v>364</v>
      </c>
      <c r="G1" s="20" t="s">
        <v>365</v>
      </c>
      <c r="H1" s="20" t="s">
        <v>366</v>
      </c>
      <c r="I1" s="20" t="s">
        <v>367</v>
      </c>
      <c r="J1" s="20" t="s">
        <v>368</v>
      </c>
      <c r="K1" s="20" t="s">
        <v>369</v>
      </c>
      <c r="L1" s="20" t="s">
        <v>349</v>
      </c>
    </row>
    <row r="2">
      <c r="A2" s="9" t="s">
        <v>370</v>
      </c>
      <c r="B2" s="9" t="s">
        <v>371</v>
      </c>
      <c r="C2" s="9" t="s">
        <v>372</v>
      </c>
      <c r="D2" s="9" t="s">
        <v>373</v>
      </c>
      <c r="E2" s="9" t="s">
        <v>374</v>
      </c>
      <c r="F2" s="9" t="s">
        <v>375</v>
      </c>
      <c r="G2" s="9" t="s">
        <v>376</v>
      </c>
      <c r="H2" s="9" t="s">
        <v>377</v>
      </c>
      <c r="I2" s="9" t="s">
        <v>378</v>
      </c>
      <c r="J2" s="9">
        <v>0.0</v>
      </c>
      <c r="K2" s="9" t="b">
        <v>1</v>
      </c>
      <c r="L2" s="9" t="s">
        <v>379</v>
      </c>
    </row>
    <row r="3">
      <c r="A3" s="9" t="s">
        <v>380</v>
      </c>
      <c r="B3" s="9" t="s">
        <v>381</v>
      </c>
      <c r="C3" s="9" t="s">
        <v>382</v>
      </c>
      <c r="D3" s="9" t="s">
        <v>383</v>
      </c>
      <c r="E3" s="9" t="s">
        <v>384</v>
      </c>
      <c r="F3" s="9" t="s">
        <v>385</v>
      </c>
      <c r="G3" s="9" t="s">
        <v>386</v>
      </c>
      <c r="H3" s="9" t="s">
        <v>387</v>
      </c>
      <c r="I3" s="9" t="s">
        <v>378</v>
      </c>
      <c r="J3" s="9">
        <v>1.0</v>
      </c>
      <c r="K3" s="9" t="b">
        <v>1</v>
      </c>
      <c r="L3" s="9" t="s">
        <v>388</v>
      </c>
    </row>
    <row r="4">
      <c r="A4" s="9" t="s">
        <v>389</v>
      </c>
      <c r="B4" s="9" t="s">
        <v>390</v>
      </c>
      <c r="C4" s="9" t="s">
        <v>391</v>
      </c>
      <c r="D4" s="9" t="s">
        <v>392</v>
      </c>
      <c r="E4" s="9" t="s">
        <v>393</v>
      </c>
      <c r="F4" s="9" t="s">
        <v>394</v>
      </c>
      <c r="G4" s="9" t="s">
        <v>395</v>
      </c>
      <c r="H4" s="9" t="s">
        <v>396</v>
      </c>
      <c r="I4" s="9" t="s">
        <v>378</v>
      </c>
      <c r="J4" s="9">
        <v>2.0</v>
      </c>
      <c r="K4" s="9" t="b">
        <v>1</v>
      </c>
      <c r="L4" s="9" t="s">
        <v>397</v>
      </c>
    </row>
    <row r="5">
      <c r="A5" s="9" t="s">
        <v>398</v>
      </c>
      <c r="B5" s="9" t="s">
        <v>262</v>
      </c>
      <c r="C5" s="9" t="s">
        <v>399</v>
      </c>
      <c r="D5" s="9" t="s">
        <v>400</v>
      </c>
      <c r="E5" s="9" t="s">
        <v>401</v>
      </c>
      <c r="F5" s="9" t="s">
        <v>394</v>
      </c>
      <c r="G5" s="9" t="s">
        <v>402</v>
      </c>
      <c r="H5" s="9" t="s">
        <v>403</v>
      </c>
      <c r="I5" s="9" t="s">
        <v>378</v>
      </c>
      <c r="J5" s="9">
        <v>3.0</v>
      </c>
      <c r="K5" s="9" t="b">
        <v>1</v>
      </c>
      <c r="L5" s="9" t="s">
        <v>404</v>
      </c>
    </row>
    <row r="6">
      <c r="A6" s="9" t="s">
        <v>405</v>
      </c>
      <c r="B6" s="9" t="s">
        <v>406</v>
      </c>
      <c r="C6" s="9" t="s">
        <v>407</v>
      </c>
      <c r="D6" s="9" t="s">
        <v>408</v>
      </c>
      <c r="E6" s="9" t="s">
        <v>409</v>
      </c>
      <c r="F6" s="9" t="s">
        <v>410</v>
      </c>
      <c r="G6" s="9" t="s">
        <v>411</v>
      </c>
      <c r="H6" s="9" t="s">
        <v>412</v>
      </c>
      <c r="I6" s="9" t="s">
        <v>413</v>
      </c>
      <c r="J6" s="9">
        <v>4.0</v>
      </c>
      <c r="K6" s="9" t="b">
        <v>1</v>
      </c>
      <c r="L6" s="9" t="s">
        <v>414</v>
      </c>
    </row>
    <row r="7">
      <c r="A7" s="9" t="s">
        <v>415</v>
      </c>
      <c r="B7" s="9" t="s">
        <v>416</v>
      </c>
      <c r="C7" s="9" t="s">
        <v>417</v>
      </c>
      <c r="D7" s="9" t="s">
        <v>418</v>
      </c>
      <c r="E7" s="9" t="s">
        <v>419</v>
      </c>
      <c r="F7" s="9" t="s">
        <v>385</v>
      </c>
      <c r="G7" s="9" t="s">
        <v>411</v>
      </c>
      <c r="H7" s="9" t="s">
        <v>420</v>
      </c>
      <c r="I7" s="9" t="s">
        <v>378</v>
      </c>
      <c r="J7" s="9">
        <v>5.0</v>
      </c>
      <c r="K7" s="9" t="b">
        <v>1</v>
      </c>
      <c r="L7" s="9" t="s">
        <v>421</v>
      </c>
    </row>
    <row r="8">
      <c r="A8" s="9" t="s">
        <v>422</v>
      </c>
      <c r="B8" s="9" t="s">
        <v>423</v>
      </c>
      <c r="C8" s="9" t="s">
        <v>424</v>
      </c>
      <c r="D8" s="9" t="s">
        <v>425</v>
      </c>
      <c r="E8" s="9" t="s">
        <v>426</v>
      </c>
      <c r="F8" s="9" t="s">
        <v>394</v>
      </c>
      <c r="G8" s="9" t="s">
        <v>395</v>
      </c>
      <c r="H8" s="9" t="s">
        <v>403</v>
      </c>
      <c r="I8" s="9" t="s">
        <v>378</v>
      </c>
      <c r="J8" s="9">
        <v>6.0</v>
      </c>
      <c r="K8" s="9" t="b">
        <v>1</v>
      </c>
      <c r="L8" s="9" t="s">
        <v>427</v>
      </c>
    </row>
    <row r="9">
      <c r="A9" s="9" t="s">
        <v>428</v>
      </c>
      <c r="B9" s="9" t="s">
        <v>429</v>
      </c>
      <c r="C9" s="9" t="s">
        <v>430</v>
      </c>
      <c r="D9" s="9" t="s">
        <v>431</v>
      </c>
      <c r="E9" s="9" t="s">
        <v>432</v>
      </c>
      <c r="F9" s="9" t="s">
        <v>433</v>
      </c>
      <c r="G9" s="9" t="s">
        <v>434</v>
      </c>
      <c r="H9" s="9" t="s">
        <v>435</v>
      </c>
      <c r="I9" s="9" t="s">
        <v>378</v>
      </c>
      <c r="J9" s="9">
        <v>7.0</v>
      </c>
      <c r="K9" s="9" t="b">
        <v>1</v>
      </c>
      <c r="L9" s="9" t="s">
        <v>436</v>
      </c>
    </row>
    <row r="10">
      <c r="A10" s="9" t="s">
        <v>437</v>
      </c>
      <c r="B10" s="9" t="s">
        <v>438</v>
      </c>
      <c r="C10" s="9" t="s">
        <v>439</v>
      </c>
      <c r="D10" s="9" t="s">
        <v>440</v>
      </c>
      <c r="E10" s="9" t="s">
        <v>441</v>
      </c>
      <c r="F10" s="9" t="s">
        <v>75</v>
      </c>
      <c r="G10" s="9" t="s">
        <v>75</v>
      </c>
      <c r="H10" s="9" t="s">
        <v>377</v>
      </c>
      <c r="I10" s="9" t="s">
        <v>413</v>
      </c>
      <c r="J10" s="9">
        <v>8.0</v>
      </c>
      <c r="K10" s="9" t="b">
        <v>1</v>
      </c>
      <c r="L10" s="9" t="s">
        <v>442</v>
      </c>
    </row>
    <row r="11">
      <c r="A11" s="9" t="s">
        <v>443</v>
      </c>
      <c r="B11" s="9" t="s">
        <v>444</v>
      </c>
      <c r="C11" s="9" t="s">
        <v>445</v>
      </c>
      <c r="D11" s="9" t="s">
        <v>446</v>
      </c>
      <c r="E11" s="9" t="s">
        <v>447</v>
      </c>
      <c r="F11" s="9" t="s">
        <v>75</v>
      </c>
      <c r="G11" s="9" t="s">
        <v>75</v>
      </c>
      <c r="H11" s="9" t="s">
        <v>448</v>
      </c>
      <c r="I11" s="9" t="s">
        <v>413</v>
      </c>
      <c r="J11" s="9">
        <v>9.0</v>
      </c>
      <c r="K11" s="9" t="b">
        <v>1</v>
      </c>
      <c r="L11" s="9" t="s">
        <v>449</v>
      </c>
    </row>
    <row r="12">
      <c r="A12" s="9" t="s">
        <v>450</v>
      </c>
      <c r="B12" s="9" t="s">
        <v>451</v>
      </c>
      <c r="C12" s="9" t="s">
        <v>452</v>
      </c>
      <c r="D12" s="9" t="s">
        <v>453</v>
      </c>
      <c r="E12" s="9" t="s">
        <v>454</v>
      </c>
      <c r="F12" s="9" t="s">
        <v>75</v>
      </c>
      <c r="G12" s="9" t="s">
        <v>75</v>
      </c>
      <c r="H12" s="9" t="s">
        <v>377</v>
      </c>
      <c r="I12" s="9" t="s">
        <v>378</v>
      </c>
      <c r="J12" s="9">
        <v>10.0</v>
      </c>
      <c r="K12" s="9" t="b">
        <v>1</v>
      </c>
      <c r="L12" s="9" t="s">
        <v>455</v>
      </c>
    </row>
    <row r="13">
      <c r="A13" s="9" t="s">
        <v>456</v>
      </c>
      <c r="B13" s="9" t="s">
        <v>457</v>
      </c>
      <c r="C13" s="9" t="s">
        <v>458</v>
      </c>
      <c r="D13" s="9" t="s">
        <v>459</v>
      </c>
      <c r="E13" s="9" t="s">
        <v>460</v>
      </c>
      <c r="F13" s="9" t="s">
        <v>75</v>
      </c>
      <c r="G13" s="9" t="s">
        <v>75</v>
      </c>
      <c r="H13" s="9" t="s">
        <v>461</v>
      </c>
      <c r="I13" s="9" t="s">
        <v>413</v>
      </c>
      <c r="J13" s="9">
        <v>11.0</v>
      </c>
      <c r="K13" s="9" t="b">
        <v>1</v>
      </c>
      <c r="L13" s="9" t="s">
        <v>462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9.5"/>
  </cols>
  <sheetData>
    <row r="1">
      <c r="A1" s="20" t="s">
        <v>360</v>
      </c>
      <c r="B1" s="20" t="s">
        <v>463</v>
      </c>
      <c r="C1" s="20" t="s">
        <v>464</v>
      </c>
      <c r="D1" s="20" t="s">
        <v>208</v>
      </c>
      <c r="E1" s="20" t="s">
        <v>211</v>
      </c>
      <c r="F1" s="20" t="s">
        <v>465</v>
      </c>
      <c r="G1" s="20" t="s">
        <v>466</v>
      </c>
      <c r="H1" s="20" t="s">
        <v>467</v>
      </c>
      <c r="I1" s="20" t="s">
        <v>368</v>
      </c>
      <c r="J1" s="20" t="s">
        <v>369</v>
      </c>
      <c r="K1" s="20" t="s">
        <v>349</v>
      </c>
    </row>
    <row r="2">
      <c r="A2" s="9" t="s">
        <v>371</v>
      </c>
      <c r="B2" s="9" t="s">
        <v>468</v>
      </c>
      <c r="C2" s="9" t="s">
        <v>469</v>
      </c>
      <c r="D2" s="9" t="s">
        <v>470</v>
      </c>
      <c r="E2" s="9" t="b">
        <v>1</v>
      </c>
      <c r="F2" s="9" t="s">
        <v>75</v>
      </c>
      <c r="G2" s="9" t="s">
        <v>75</v>
      </c>
      <c r="H2" s="9" t="s">
        <v>471</v>
      </c>
      <c r="I2" s="9">
        <v>1.0</v>
      </c>
      <c r="J2" s="9" t="b">
        <v>1</v>
      </c>
      <c r="K2" s="9" t="s">
        <v>472</v>
      </c>
    </row>
    <row r="3">
      <c r="A3" s="9" t="s">
        <v>371</v>
      </c>
      <c r="B3" s="9" t="s">
        <v>337</v>
      </c>
      <c r="C3" s="9" t="s">
        <v>473</v>
      </c>
      <c r="D3" s="9" t="s">
        <v>474</v>
      </c>
      <c r="E3" s="9" t="b">
        <v>1</v>
      </c>
      <c r="F3" s="9" t="s">
        <v>375</v>
      </c>
      <c r="G3" s="9" t="s">
        <v>475</v>
      </c>
      <c r="H3" s="9" t="s">
        <v>471</v>
      </c>
      <c r="I3" s="9">
        <v>2.0</v>
      </c>
      <c r="J3" s="9" t="b">
        <v>1</v>
      </c>
      <c r="K3" s="9" t="s">
        <v>471</v>
      </c>
    </row>
    <row r="4">
      <c r="A4" s="9" t="s">
        <v>371</v>
      </c>
      <c r="B4" s="9" t="s">
        <v>338</v>
      </c>
      <c r="C4" s="9" t="s">
        <v>476</v>
      </c>
      <c r="D4" s="9" t="s">
        <v>477</v>
      </c>
      <c r="E4" s="9" t="b">
        <v>1</v>
      </c>
      <c r="F4" s="9" t="s">
        <v>375</v>
      </c>
      <c r="G4" s="9" t="s">
        <v>478</v>
      </c>
      <c r="H4" s="9" t="s">
        <v>479</v>
      </c>
      <c r="I4" s="9">
        <v>3.0</v>
      </c>
      <c r="J4" s="9" t="b">
        <v>1</v>
      </c>
      <c r="K4" s="9" t="s">
        <v>471</v>
      </c>
    </row>
    <row r="5">
      <c r="A5" s="9" t="s">
        <v>371</v>
      </c>
      <c r="B5" s="9" t="s">
        <v>339</v>
      </c>
      <c r="C5" s="9" t="s">
        <v>480</v>
      </c>
      <c r="D5" s="9" t="s">
        <v>216</v>
      </c>
      <c r="E5" s="9" t="b">
        <v>1</v>
      </c>
      <c r="F5" s="9" t="s">
        <v>75</v>
      </c>
      <c r="G5" s="9" t="s">
        <v>478</v>
      </c>
      <c r="H5" s="9" t="s">
        <v>471</v>
      </c>
      <c r="I5" s="9">
        <v>4.0</v>
      </c>
      <c r="J5" s="9" t="b">
        <v>1</v>
      </c>
      <c r="K5" s="9" t="s">
        <v>471</v>
      </c>
    </row>
    <row r="6">
      <c r="A6" s="9" t="s">
        <v>371</v>
      </c>
      <c r="B6" s="9" t="s">
        <v>340</v>
      </c>
      <c r="C6" s="9" t="s">
        <v>481</v>
      </c>
      <c r="D6" s="9" t="s">
        <v>216</v>
      </c>
      <c r="E6" s="9" t="b">
        <v>1</v>
      </c>
      <c r="F6" s="9" t="s">
        <v>75</v>
      </c>
      <c r="G6" s="9" t="s">
        <v>482</v>
      </c>
      <c r="H6" s="9" t="s">
        <v>471</v>
      </c>
      <c r="I6" s="9">
        <v>5.0</v>
      </c>
      <c r="J6" s="9" t="b">
        <v>1</v>
      </c>
      <c r="K6" s="9" t="s">
        <v>483</v>
      </c>
    </row>
    <row r="7">
      <c r="A7" s="9" t="s">
        <v>371</v>
      </c>
      <c r="B7" s="9" t="s">
        <v>343</v>
      </c>
      <c r="C7" s="9" t="s">
        <v>484</v>
      </c>
      <c r="D7" s="9" t="s">
        <v>216</v>
      </c>
      <c r="E7" s="9" t="b">
        <v>1</v>
      </c>
      <c r="F7" s="9" t="s">
        <v>75</v>
      </c>
      <c r="G7" s="9" t="s">
        <v>485</v>
      </c>
      <c r="H7" s="9" t="s">
        <v>471</v>
      </c>
      <c r="I7" s="9">
        <v>6.0</v>
      </c>
      <c r="J7" s="9" t="b">
        <v>1</v>
      </c>
      <c r="K7" s="9" t="s">
        <v>471</v>
      </c>
    </row>
    <row r="8">
      <c r="A8" s="9" t="s">
        <v>371</v>
      </c>
      <c r="B8" s="9" t="s">
        <v>341</v>
      </c>
      <c r="C8" s="9" t="s">
        <v>486</v>
      </c>
      <c r="D8" s="9" t="s">
        <v>216</v>
      </c>
      <c r="E8" s="9" t="b">
        <v>1</v>
      </c>
      <c r="F8" s="9" t="s">
        <v>75</v>
      </c>
      <c r="G8" s="9" t="s">
        <v>485</v>
      </c>
      <c r="H8" s="9" t="s">
        <v>471</v>
      </c>
      <c r="I8" s="9">
        <v>7.0</v>
      </c>
      <c r="J8" s="9" t="b">
        <v>1</v>
      </c>
      <c r="K8" s="9" t="s">
        <v>471</v>
      </c>
    </row>
    <row r="9">
      <c r="A9" s="9" t="s">
        <v>371</v>
      </c>
      <c r="B9" s="9" t="s">
        <v>487</v>
      </c>
      <c r="C9" s="9" t="s">
        <v>488</v>
      </c>
      <c r="D9" s="9" t="s">
        <v>477</v>
      </c>
      <c r="E9" s="9" t="b">
        <v>1</v>
      </c>
      <c r="F9" s="9" t="s">
        <v>489</v>
      </c>
      <c r="G9" s="9" t="s">
        <v>490</v>
      </c>
      <c r="H9" s="9" t="s">
        <v>491</v>
      </c>
      <c r="I9" s="9">
        <v>8.0</v>
      </c>
      <c r="J9" s="9" t="b">
        <v>1</v>
      </c>
      <c r="K9" s="9" t="s">
        <v>471</v>
      </c>
    </row>
    <row r="10">
      <c r="A10" s="9" t="s">
        <v>371</v>
      </c>
      <c r="B10" s="9" t="s">
        <v>492</v>
      </c>
      <c r="C10" s="9" t="s">
        <v>493</v>
      </c>
      <c r="D10" s="9" t="s">
        <v>494</v>
      </c>
      <c r="E10" s="9" t="b">
        <v>1</v>
      </c>
      <c r="F10" s="9" t="s">
        <v>375</v>
      </c>
      <c r="G10" s="9" t="s">
        <v>495</v>
      </c>
      <c r="H10" s="9" t="s">
        <v>471</v>
      </c>
      <c r="I10" s="9">
        <v>9.0</v>
      </c>
      <c r="J10" s="9" t="b">
        <v>1</v>
      </c>
      <c r="K10" s="9" t="s">
        <v>471</v>
      </c>
    </row>
    <row r="11">
      <c r="A11" s="9" t="s">
        <v>371</v>
      </c>
      <c r="B11" s="9" t="s">
        <v>496</v>
      </c>
      <c r="C11" s="9" t="s">
        <v>497</v>
      </c>
      <c r="D11" s="9" t="s">
        <v>494</v>
      </c>
      <c r="E11" s="9" t="b">
        <v>1</v>
      </c>
      <c r="F11" s="9" t="s">
        <v>375</v>
      </c>
      <c r="G11" s="9" t="s">
        <v>495</v>
      </c>
      <c r="H11" s="9" t="s">
        <v>471</v>
      </c>
      <c r="I11" s="9">
        <v>10.0</v>
      </c>
      <c r="J11" s="9" t="b">
        <v>1</v>
      </c>
      <c r="K11" s="9" t="s">
        <v>471</v>
      </c>
    </row>
    <row r="12">
      <c r="A12" s="9" t="s">
        <v>371</v>
      </c>
      <c r="B12" s="9" t="s">
        <v>498</v>
      </c>
      <c r="C12" s="9" t="s">
        <v>499</v>
      </c>
      <c r="D12" s="9" t="s">
        <v>477</v>
      </c>
      <c r="E12" s="9" t="b">
        <v>1</v>
      </c>
      <c r="F12" s="9" t="s">
        <v>375</v>
      </c>
      <c r="G12" s="9" t="s">
        <v>500</v>
      </c>
      <c r="H12" s="9" t="s">
        <v>140</v>
      </c>
      <c r="I12" s="9">
        <v>11.0</v>
      </c>
      <c r="J12" s="9" t="b">
        <v>1</v>
      </c>
      <c r="K12" s="9" t="s">
        <v>471</v>
      </c>
    </row>
    <row r="13">
      <c r="A13" s="9" t="s">
        <v>371</v>
      </c>
      <c r="B13" s="9" t="s">
        <v>501</v>
      </c>
      <c r="C13" s="9" t="s">
        <v>502</v>
      </c>
      <c r="D13" s="9" t="s">
        <v>477</v>
      </c>
      <c r="E13" s="9" t="b">
        <v>1</v>
      </c>
      <c r="F13" s="9" t="s">
        <v>375</v>
      </c>
      <c r="G13" s="9" t="s">
        <v>500</v>
      </c>
      <c r="H13" s="9" t="s">
        <v>140</v>
      </c>
      <c r="I13" s="9">
        <v>12.0</v>
      </c>
      <c r="J13" s="9" t="b">
        <v>1</v>
      </c>
      <c r="K13" s="9" t="s">
        <v>471</v>
      </c>
    </row>
    <row r="14">
      <c r="A14" s="9" t="s">
        <v>371</v>
      </c>
      <c r="B14" s="9" t="s">
        <v>55</v>
      </c>
      <c r="C14" s="9" t="s">
        <v>503</v>
      </c>
      <c r="D14" s="9" t="s">
        <v>504</v>
      </c>
      <c r="E14" s="9" t="b">
        <v>1</v>
      </c>
      <c r="F14" s="9" t="s">
        <v>75</v>
      </c>
      <c r="G14" s="9" t="s">
        <v>75</v>
      </c>
      <c r="H14" s="9" t="s">
        <v>471</v>
      </c>
      <c r="I14" s="9">
        <v>13.0</v>
      </c>
      <c r="J14" s="9" t="b">
        <v>1</v>
      </c>
      <c r="K14" s="9" t="s">
        <v>471</v>
      </c>
    </row>
    <row r="15">
      <c r="A15" s="9" t="s">
        <v>381</v>
      </c>
      <c r="B15" s="9" t="s">
        <v>505</v>
      </c>
      <c r="C15" s="9" t="s">
        <v>506</v>
      </c>
      <c r="D15" s="9" t="s">
        <v>470</v>
      </c>
      <c r="E15" s="9" t="b">
        <v>1</v>
      </c>
      <c r="F15" s="9" t="s">
        <v>75</v>
      </c>
      <c r="G15" s="9" t="s">
        <v>75</v>
      </c>
      <c r="H15" s="9" t="s">
        <v>471</v>
      </c>
      <c r="I15" s="9">
        <v>1.0</v>
      </c>
      <c r="J15" s="9" t="b">
        <v>1</v>
      </c>
      <c r="K15" s="9" t="s">
        <v>471</v>
      </c>
    </row>
    <row r="16">
      <c r="A16" s="9" t="s">
        <v>381</v>
      </c>
      <c r="B16" s="9" t="s">
        <v>507</v>
      </c>
      <c r="C16" s="9" t="s">
        <v>508</v>
      </c>
      <c r="D16" s="9" t="s">
        <v>477</v>
      </c>
      <c r="E16" s="9" t="b">
        <v>1</v>
      </c>
      <c r="F16" s="9" t="s">
        <v>75</v>
      </c>
      <c r="G16" s="9" t="s">
        <v>509</v>
      </c>
      <c r="H16" s="9" t="s">
        <v>510</v>
      </c>
      <c r="I16" s="9">
        <v>2.0</v>
      </c>
      <c r="J16" s="9" t="b">
        <v>1</v>
      </c>
      <c r="K16" s="9" t="s">
        <v>471</v>
      </c>
    </row>
    <row r="17">
      <c r="A17" s="9" t="s">
        <v>381</v>
      </c>
      <c r="B17" s="9" t="s">
        <v>511</v>
      </c>
      <c r="C17" s="9" t="s">
        <v>512</v>
      </c>
      <c r="D17" s="9" t="s">
        <v>216</v>
      </c>
      <c r="E17" s="9" t="b">
        <v>1</v>
      </c>
      <c r="F17" s="9" t="s">
        <v>75</v>
      </c>
      <c r="G17" s="9" t="s">
        <v>509</v>
      </c>
      <c r="H17" s="9" t="s">
        <v>471</v>
      </c>
      <c r="I17" s="9">
        <v>3.0</v>
      </c>
      <c r="J17" s="9" t="b">
        <v>1</v>
      </c>
      <c r="K17" s="9" t="s">
        <v>471</v>
      </c>
    </row>
    <row r="18">
      <c r="A18" s="9" t="s">
        <v>381</v>
      </c>
      <c r="B18" s="9" t="s">
        <v>513</v>
      </c>
      <c r="C18" s="9" t="s">
        <v>514</v>
      </c>
      <c r="D18" s="9" t="s">
        <v>515</v>
      </c>
      <c r="E18" s="9" t="b">
        <v>1</v>
      </c>
      <c r="F18" s="9" t="s">
        <v>75</v>
      </c>
      <c r="G18" s="9" t="s">
        <v>516</v>
      </c>
      <c r="H18" s="9" t="s">
        <v>517</v>
      </c>
      <c r="I18" s="9">
        <v>4.0</v>
      </c>
      <c r="J18" s="9" t="b">
        <v>1</v>
      </c>
      <c r="K18" s="9" t="s">
        <v>471</v>
      </c>
    </row>
    <row r="19">
      <c r="A19" s="9" t="s">
        <v>381</v>
      </c>
      <c r="B19" s="9" t="s">
        <v>518</v>
      </c>
      <c r="C19" s="9" t="s">
        <v>519</v>
      </c>
      <c r="D19" s="9" t="s">
        <v>216</v>
      </c>
      <c r="E19" s="9" t="b">
        <v>1</v>
      </c>
      <c r="F19" s="9" t="s">
        <v>75</v>
      </c>
      <c r="G19" s="9" t="s">
        <v>520</v>
      </c>
      <c r="H19" s="9" t="s">
        <v>471</v>
      </c>
      <c r="I19" s="9">
        <v>5.0</v>
      </c>
      <c r="J19" s="9" t="b">
        <v>1</v>
      </c>
      <c r="K19" s="9" t="s">
        <v>521</v>
      </c>
    </row>
    <row r="20">
      <c r="A20" s="9" t="s">
        <v>381</v>
      </c>
      <c r="B20" s="9" t="s">
        <v>522</v>
      </c>
      <c r="C20" s="9" t="s">
        <v>523</v>
      </c>
      <c r="D20" s="9" t="s">
        <v>216</v>
      </c>
      <c r="E20" s="9" t="b">
        <v>1</v>
      </c>
      <c r="F20" s="9" t="s">
        <v>75</v>
      </c>
      <c r="G20" s="9" t="s">
        <v>524</v>
      </c>
      <c r="H20" s="9" t="s">
        <v>471</v>
      </c>
      <c r="I20" s="9">
        <v>6.0</v>
      </c>
      <c r="J20" s="9" t="b">
        <v>1</v>
      </c>
      <c r="K20" s="9" t="s">
        <v>471</v>
      </c>
    </row>
    <row r="21">
      <c r="A21" s="9" t="s">
        <v>381</v>
      </c>
      <c r="B21" s="9" t="s">
        <v>525</v>
      </c>
      <c r="C21" s="9" t="s">
        <v>526</v>
      </c>
      <c r="D21" s="9" t="s">
        <v>477</v>
      </c>
      <c r="E21" s="9" t="b">
        <v>1</v>
      </c>
      <c r="F21" s="9" t="s">
        <v>75</v>
      </c>
      <c r="G21" s="9" t="s">
        <v>527</v>
      </c>
      <c r="H21" s="9" t="s">
        <v>528</v>
      </c>
      <c r="I21" s="9">
        <v>7.0</v>
      </c>
      <c r="J21" s="9" t="b">
        <v>1</v>
      </c>
      <c r="K21" s="9" t="s">
        <v>471</v>
      </c>
    </row>
    <row r="22">
      <c r="A22" s="9" t="s">
        <v>381</v>
      </c>
      <c r="B22" s="9" t="s">
        <v>529</v>
      </c>
      <c r="C22" s="9" t="s">
        <v>530</v>
      </c>
      <c r="D22" s="9" t="s">
        <v>531</v>
      </c>
      <c r="E22" s="9" t="b">
        <v>1</v>
      </c>
      <c r="F22" s="9" t="s">
        <v>75</v>
      </c>
      <c r="G22" s="9" t="s">
        <v>509</v>
      </c>
      <c r="H22" s="9" t="s">
        <v>471</v>
      </c>
      <c r="I22" s="9">
        <v>8.0</v>
      </c>
      <c r="J22" s="9" t="b">
        <v>1</v>
      </c>
      <c r="K22" s="9" t="s">
        <v>471</v>
      </c>
    </row>
    <row r="23">
      <c r="A23" s="9" t="s">
        <v>381</v>
      </c>
      <c r="B23" s="9" t="s">
        <v>532</v>
      </c>
      <c r="C23" s="9" t="s">
        <v>533</v>
      </c>
      <c r="D23" s="9" t="s">
        <v>531</v>
      </c>
      <c r="E23" s="9" t="b">
        <v>1</v>
      </c>
      <c r="F23" s="9" t="s">
        <v>411</v>
      </c>
      <c r="G23" s="9" t="s">
        <v>495</v>
      </c>
      <c r="H23" s="9" t="s">
        <v>471</v>
      </c>
      <c r="I23" s="9">
        <v>9.0</v>
      </c>
      <c r="J23" s="9" t="b">
        <v>1</v>
      </c>
      <c r="K23" s="9" t="s">
        <v>471</v>
      </c>
    </row>
    <row r="24">
      <c r="A24" s="9" t="s">
        <v>381</v>
      </c>
      <c r="B24" s="9" t="s">
        <v>534</v>
      </c>
      <c r="C24" s="9" t="s">
        <v>535</v>
      </c>
      <c r="D24" s="9" t="s">
        <v>272</v>
      </c>
      <c r="E24" s="9" t="b">
        <v>1</v>
      </c>
      <c r="F24" s="9" t="s">
        <v>75</v>
      </c>
      <c r="G24" s="9" t="s">
        <v>75</v>
      </c>
      <c r="H24" s="9" t="s">
        <v>471</v>
      </c>
      <c r="I24" s="9">
        <v>10.0</v>
      </c>
      <c r="J24" s="9" t="b">
        <v>1</v>
      </c>
      <c r="K24" s="9" t="s">
        <v>536</v>
      </c>
    </row>
    <row r="25">
      <c r="A25" s="9" t="s">
        <v>381</v>
      </c>
      <c r="B25" s="9" t="s">
        <v>537</v>
      </c>
      <c r="C25" s="9" t="s">
        <v>538</v>
      </c>
      <c r="D25" s="9" t="s">
        <v>477</v>
      </c>
      <c r="E25" s="9" t="b">
        <v>1</v>
      </c>
      <c r="F25" s="9" t="s">
        <v>75</v>
      </c>
      <c r="G25" s="9" t="s">
        <v>490</v>
      </c>
      <c r="H25" s="9" t="s">
        <v>539</v>
      </c>
      <c r="I25" s="9">
        <v>11.0</v>
      </c>
      <c r="J25" s="9" t="b">
        <v>1</v>
      </c>
      <c r="K25" s="9" t="s">
        <v>471</v>
      </c>
    </row>
    <row r="26">
      <c r="A26" s="9" t="s">
        <v>381</v>
      </c>
      <c r="B26" s="9" t="s">
        <v>540</v>
      </c>
      <c r="C26" s="9" t="s">
        <v>541</v>
      </c>
      <c r="D26" s="9" t="s">
        <v>531</v>
      </c>
      <c r="E26" s="9" t="b">
        <v>0</v>
      </c>
      <c r="F26" s="9" t="s">
        <v>411</v>
      </c>
      <c r="G26" s="9" t="s">
        <v>495</v>
      </c>
      <c r="H26" s="9" t="s">
        <v>471</v>
      </c>
      <c r="I26" s="9">
        <v>12.0</v>
      </c>
      <c r="J26" s="9" t="b">
        <v>1</v>
      </c>
      <c r="K26" s="9" t="s">
        <v>471</v>
      </c>
    </row>
    <row r="27">
      <c r="A27" s="9" t="s">
        <v>381</v>
      </c>
      <c r="B27" s="9" t="s">
        <v>542</v>
      </c>
      <c r="C27" s="9" t="s">
        <v>543</v>
      </c>
      <c r="D27" s="9" t="s">
        <v>531</v>
      </c>
      <c r="E27" s="9" t="b">
        <v>0</v>
      </c>
      <c r="F27" s="9" t="s">
        <v>544</v>
      </c>
      <c r="G27" s="9" t="s">
        <v>495</v>
      </c>
      <c r="H27" s="9" t="s">
        <v>471</v>
      </c>
      <c r="I27" s="9">
        <v>13.0</v>
      </c>
      <c r="J27" s="9" t="b">
        <v>1</v>
      </c>
      <c r="K27" s="9" t="s">
        <v>471</v>
      </c>
    </row>
    <row r="28">
      <c r="A28" s="9" t="s">
        <v>381</v>
      </c>
      <c r="B28" s="9" t="s">
        <v>545</v>
      </c>
      <c r="C28" s="9" t="s">
        <v>546</v>
      </c>
      <c r="D28" s="9" t="s">
        <v>531</v>
      </c>
      <c r="E28" s="9" t="b">
        <v>0</v>
      </c>
      <c r="F28" s="9" t="s">
        <v>75</v>
      </c>
      <c r="G28" s="9" t="s">
        <v>75</v>
      </c>
      <c r="H28" s="9" t="s">
        <v>471</v>
      </c>
      <c r="I28" s="9">
        <v>14.0</v>
      </c>
      <c r="J28" s="9" t="b">
        <v>1</v>
      </c>
      <c r="K28" s="9" t="s">
        <v>547</v>
      </c>
    </row>
    <row r="29">
      <c r="A29" s="9" t="s">
        <v>381</v>
      </c>
      <c r="B29" s="9" t="s">
        <v>548</v>
      </c>
      <c r="C29" s="9" t="s">
        <v>549</v>
      </c>
      <c r="D29" s="9" t="s">
        <v>531</v>
      </c>
      <c r="E29" s="9" t="b">
        <v>0</v>
      </c>
      <c r="F29" s="9" t="s">
        <v>411</v>
      </c>
      <c r="G29" s="9" t="s">
        <v>509</v>
      </c>
      <c r="H29" s="9" t="s">
        <v>471</v>
      </c>
      <c r="I29" s="9">
        <v>15.0</v>
      </c>
      <c r="J29" s="9" t="b">
        <v>1</v>
      </c>
      <c r="K29" s="9" t="s">
        <v>471</v>
      </c>
    </row>
    <row r="30">
      <c r="A30" s="9" t="s">
        <v>381</v>
      </c>
      <c r="B30" s="9" t="s">
        <v>550</v>
      </c>
      <c r="C30" s="9" t="s">
        <v>551</v>
      </c>
      <c r="D30" s="9" t="s">
        <v>477</v>
      </c>
      <c r="E30" s="9" t="b">
        <v>1</v>
      </c>
      <c r="F30" s="9" t="s">
        <v>411</v>
      </c>
      <c r="G30" s="9" t="s">
        <v>509</v>
      </c>
      <c r="H30" s="9" t="s">
        <v>552</v>
      </c>
      <c r="I30" s="9">
        <v>16.0</v>
      </c>
      <c r="J30" s="9" t="b">
        <v>1</v>
      </c>
      <c r="K30" s="9" t="s">
        <v>471</v>
      </c>
    </row>
    <row r="31">
      <c r="A31" s="9" t="s">
        <v>381</v>
      </c>
      <c r="B31" s="9" t="s">
        <v>553</v>
      </c>
      <c r="C31" s="9" t="s">
        <v>554</v>
      </c>
      <c r="D31" s="9" t="s">
        <v>261</v>
      </c>
      <c r="E31" s="9" t="b">
        <v>1</v>
      </c>
      <c r="F31" s="9" t="s">
        <v>411</v>
      </c>
      <c r="G31" s="9" t="s">
        <v>509</v>
      </c>
      <c r="H31" s="9" t="s">
        <v>471</v>
      </c>
      <c r="I31" s="9">
        <v>17.0</v>
      </c>
      <c r="J31" s="9" t="b">
        <v>1</v>
      </c>
      <c r="K31" s="9" t="s">
        <v>471</v>
      </c>
    </row>
    <row r="32">
      <c r="A32" s="9" t="s">
        <v>381</v>
      </c>
      <c r="B32" s="9" t="s">
        <v>555</v>
      </c>
      <c r="C32" s="9" t="s">
        <v>556</v>
      </c>
      <c r="D32" s="9" t="s">
        <v>272</v>
      </c>
      <c r="E32" s="9" t="b">
        <v>1</v>
      </c>
      <c r="F32" s="9" t="s">
        <v>411</v>
      </c>
      <c r="G32" s="9" t="s">
        <v>509</v>
      </c>
      <c r="H32" s="9" t="s">
        <v>471</v>
      </c>
      <c r="I32" s="9">
        <v>18.0</v>
      </c>
      <c r="J32" s="9" t="b">
        <v>1</v>
      </c>
      <c r="K32" s="9" t="s">
        <v>471</v>
      </c>
    </row>
    <row r="33">
      <c r="A33" s="9" t="s">
        <v>381</v>
      </c>
      <c r="B33" s="9" t="s">
        <v>557</v>
      </c>
      <c r="C33" s="9" t="s">
        <v>558</v>
      </c>
      <c r="D33" s="9" t="s">
        <v>261</v>
      </c>
      <c r="E33" s="9" t="b">
        <v>1</v>
      </c>
      <c r="F33" s="9" t="s">
        <v>411</v>
      </c>
      <c r="G33" s="9" t="s">
        <v>509</v>
      </c>
      <c r="H33" s="9" t="s">
        <v>471</v>
      </c>
      <c r="I33" s="9">
        <v>19.0</v>
      </c>
      <c r="J33" s="9" t="b">
        <v>1</v>
      </c>
      <c r="K33" s="9" t="s">
        <v>471</v>
      </c>
    </row>
    <row r="34">
      <c r="A34" s="9" t="s">
        <v>390</v>
      </c>
      <c r="B34" s="9" t="s">
        <v>559</v>
      </c>
      <c r="C34" s="9" t="s">
        <v>560</v>
      </c>
      <c r="D34" s="9" t="s">
        <v>470</v>
      </c>
      <c r="E34" s="9" t="b">
        <v>1</v>
      </c>
      <c r="F34" s="9" t="s">
        <v>75</v>
      </c>
      <c r="G34" s="9" t="s">
        <v>75</v>
      </c>
      <c r="H34" s="9" t="s">
        <v>471</v>
      </c>
      <c r="I34" s="9">
        <v>1.0</v>
      </c>
      <c r="J34" s="9" t="b">
        <v>1</v>
      </c>
      <c r="K34" s="9" t="s">
        <v>471</v>
      </c>
    </row>
    <row r="35">
      <c r="A35" s="9" t="s">
        <v>390</v>
      </c>
      <c r="B35" s="9" t="s">
        <v>505</v>
      </c>
      <c r="C35" s="9" t="s">
        <v>506</v>
      </c>
      <c r="D35" s="9" t="s">
        <v>477</v>
      </c>
      <c r="E35" s="9" t="b">
        <v>1</v>
      </c>
      <c r="F35" s="9" t="s">
        <v>75</v>
      </c>
      <c r="G35" s="9" t="s">
        <v>382</v>
      </c>
      <c r="H35" s="9" t="s">
        <v>561</v>
      </c>
      <c r="I35" s="9">
        <v>2.0</v>
      </c>
      <c r="J35" s="9" t="b">
        <v>1</v>
      </c>
      <c r="K35" s="9" t="s">
        <v>471</v>
      </c>
    </row>
    <row r="36">
      <c r="A36" s="9" t="s">
        <v>390</v>
      </c>
      <c r="B36" s="9" t="s">
        <v>545</v>
      </c>
      <c r="C36" s="9" t="s">
        <v>562</v>
      </c>
      <c r="D36" s="9" t="s">
        <v>531</v>
      </c>
      <c r="E36" s="9" t="b">
        <v>1</v>
      </c>
      <c r="F36" s="9" t="s">
        <v>75</v>
      </c>
      <c r="G36" s="9" t="s">
        <v>382</v>
      </c>
      <c r="H36" s="9" t="s">
        <v>471</v>
      </c>
      <c r="I36" s="9">
        <v>3.0</v>
      </c>
      <c r="J36" s="9" t="b">
        <v>1</v>
      </c>
      <c r="K36" s="9" t="s">
        <v>471</v>
      </c>
    </row>
    <row r="37">
      <c r="A37" s="9" t="s">
        <v>390</v>
      </c>
      <c r="B37" s="9" t="s">
        <v>563</v>
      </c>
      <c r="C37" s="9" t="s">
        <v>564</v>
      </c>
      <c r="D37" s="9" t="s">
        <v>261</v>
      </c>
      <c r="E37" s="9" t="b">
        <v>0</v>
      </c>
      <c r="F37" s="9" t="s">
        <v>395</v>
      </c>
      <c r="G37" s="9" t="s">
        <v>495</v>
      </c>
      <c r="H37" s="9" t="s">
        <v>471</v>
      </c>
      <c r="I37" s="9">
        <v>4.0</v>
      </c>
      <c r="J37" s="9" t="b">
        <v>1</v>
      </c>
      <c r="K37" s="9" t="s">
        <v>471</v>
      </c>
    </row>
    <row r="38">
      <c r="A38" s="9" t="s">
        <v>390</v>
      </c>
      <c r="B38" s="9" t="s">
        <v>565</v>
      </c>
      <c r="C38" s="9" t="s">
        <v>566</v>
      </c>
      <c r="D38" s="9" t="s">
        <v>531</v>
      </c>
      <c r="E38" s="9" t="b">
        <v>1</v>
      </c>
      <c r="F38" s="9" t="s">
        <v>395</v>
      </c>
      <c r="G38" s="9" t="s">
        <v>495</v>
      </c>
      <c r="H38" s="9" t="s">
        <v>471</v>
      </c>
      <c r="I38" s="9">
        <v>5.0</v>
      </c>
      <c r="J38" s="9" t="b">
        <v>1</v>
      </c>
      <c r="K38" s="9" t="s">
        <v>471</v>
      </c>
    </row>
    <row r="39">
      <c r="A39" s="9" t="s">
        <v>390</v>
      </c>
      <c r="B39" s="9" t="s">
        <v>567</v>
      </c>
      <c r="C39" s="9" t="s">
        <v>568</v>
      </c>
      <c r="D39" s="9" t="s">
        <v>531</v>
      </c>
      <c r="E39" s="9" t="b">
        <v>0</v>
      </c>
      <c r="F39" s="9" t="s">
        <v>395</v>
      </c>
      <c r="G39" s="9" t="s">
        <v>495</v>
      </c>
      <c r="H39" s="9" t="s">
        <v>471</v>
      </c>
      <c r="I39" s="9">
        <v>6.0</v>
      </c>
      <c r="J39" s="9" t="b">
        <v>1</v>
      </c>
      <c r="K39" s="9" t="s">
        <v>471</v>
      </c>
    </row>
    <row r="40">
      <c r="A40" s="9" t="s">
        <v>390</v>
      </c>
      <c r="B40" s="9" t="s">
        <v>569</v>
      </c>
      <c r="C40" s="9" t="s">
        <v>570</v>
      </c>
      <c r="D40" s="9" t="s">
        <v>531</v>
      </c>
      <c r="E40" s="9" t="b">
        <v>0</v>
      </c>
      <c r="F40" s="9" t="s">
        <v>395</v>
      </c>
      <c r="G40" s="9" t="s">
        <v>495</v>
      </c>
      <c r="H40" s="9" t="s">
        <v>471</v>
      </c>
      <c r="I40" s="9">
        <v>7.0</v>
      </c>
      <c r="J40" s="9" t="b">
        <v>1</v>
      </c>
      <c r="K40" s="9" t="s">
        <v>471</v>
      </c>
    </row>
    <row r="41">
      <c r="A41" s="9" t="s">
        <v>390</v>
      </c>
      <c r="B41" s="9" t="s">
        <v>571</v>
      </c>
      <c r="C41" s="9" t="s">
        <v>572</v>
      </c>
      <c r="D41" s="9" t="s">
        <v>477</v>
      </c>
      <c r="E41" s="9" t="b">
        <v>1</v>
      </c>
      <c r="F41" s="9" t="s">
        <v>75</v>
      </c>
      <c r="G41" s="9" t="s">
        <v>490</v>
      </c>
      <c r="H41" s="9" t="s">
        <v>573</v>
      </c>
      <c r="I41" s="9">
        <v>8.0</v>
      </c>
      <c r="J41" s="9" t="b">
        <v>1</v>
      </c>
      <c r="K41" s="9" t="s">
        <v>471</v>
      </c>
    </row>
    <row r="42">
      <c r="A42" s="9" t="s">
        <v>390</v>
      </c>
      <c r="B42" s="9" t="s">
        <v>574</v>
      </c>
      <c r="C42" s="9" t="s">
        <v>575</v>
      </c>
      <c r="D42" s="9" t="s">
        <v>477</v>
      </c>
      <c r="E42" s="9" t="b">
        <v>0</v>
      </c>
      <c r="F42" s="9" t="s">
        <v>75</v>
      </c>
      <c r="G42" s="9" t="s">
        <v>500</v>
      </c>
      <c r="H42" s="9" t="s">
        <v>140</v>
      </c>
      <c r="I42" s="9">
        <v>9.0</v>
      </c>
      <c r="J42" s="9" t="b">
        <v>1</v>
      </c>
      <c r="K42" s="9" t="s">
        <v>471</v>
      </c>
    </row>
    <row r="43">
      <c r="A43" s="9" t="s">
        <v>390</v>
      </c>
      <c r="B43" s="9" t="s">
        <v>576</v>
      </c>
      <c r="C43" s="9" t="s">
        <v>577</v>
      </c>
      <c r="D43" s="9" t="s">
        <v>504</v>
      </c>
      <c r="E43" s="9" t="b">
        <v>0</v>
      </c>
      <c r="F43" s="9" t="s">
        <v>75</v>
      </c>
      <c r="G43" s="9" t="s">
        <v>75</v>
      </c>
      <c r="H43" s="9" t="s">
        <v>471</v>
      </c>
      <c r="I43" s="9">
        <v>10.0</v>
      </c>
      <c r="J43" s="9" t="b">
        <v>1</v>
      </c>
      <c r="K43" s="9" t="s">
        <v>471</v>
      </c>
    </row>
    <row r="44">
      <c r="A44" s="9" t="s">
        <v>390</v>
      </c>
      <c r="B44" s="9" t="s">
        <v>578</v>
      </c>
      <c r="C44" s="9" t="s">
        <v>579</v>
      </c>
      <c r="D44" s="9" t="s">
        <v>477</v>
      </c>
      <c r="E44" s="9" t="b">
        <v>0</v>
      </c>
      <c r="F44" s="9" t="s">
        <v>580</v>
      </c>
      <c r="G44" s="9" t="s">
        <v>500</v>
      </c>
      <c r="H44" s="9" t="s">
        <v>140</v>
      </c>
      <c r="I44" s="9">
        <v>11.0</v>
      </c>
      <c r="J44" s="9" t="b">
        <v>1</v>
      </c>
      <c r="K44" s="9" t="s">
        <v>471</v>
      </c>
    </row>
    <row r="45">
      <c r="A45" s="9" t="s">
        <v>390</v>
      </c>
      <c r="B45" s="9" t="s">
        <v>581</v>
      </c>
      <c r="C45" s="9" t="s">
        <v>582</v>
      </c>
      <c r="D45" s="9" t="s">
        <v>504</v>
      </c>
      <c r="E45" s="9" t="b">
        <v>0</v>
      </c>
      <c r="F45" s="9" t="s">
        <v>75</v>
      </c>
      <c r="G45" s="9" t="s">
        <v>75</v>
      </c>
      <c r="H45" s="9" t="s">
        <v>471</v>
      </c>
      <c r="I45" s="9">
        <v>12.0</v>
      </c>
      <c r="J45" s="9" t="b">
        <v>1</v>
      </c>
      <c r="K45" s="9" t="s">
        <v>471</v>
      </c>
    </row>
    <row r="46">
      <c r="A46" s="11" t="s">
        <v>262</v>
      </c>
      <c r="B46" s="11" t="s">
        <v>583</v>
      </c>
      <c r="C46" s="11" t="s">
        <v>584</v>
      </c>
      <c r="D46" s="11" t="s">
        <v>470</v>
      </c>
      <c r="E46" s="11" t="b">
        <v>1</v>
      </c>
      <c r="F46" s="11" t="s">
        <v>75</v>
      </c>
      <c r="G46" s="11" t="s">
        <v>75</v>
      </c>
      <c r="I46" s="11">
        <v>1.0</v>
      </c>
      <c r="J46" s="11" t="b">
        <v>1</v>
      </c>
    </row>
    <row r="47">
      <c r="A47" s="11" t="s">
        <v>262</v>
      </c>
      <c r="B47" s="11" t="s">
        <v>585</v>
      </c>
      <c r="C47" s="11" t="s">
        <v>586</v>
      </c>
      <c r="D47" s="11" t="s">
        <v>216</v>
      </c>
      <c r="E47" s="11" t="b">
        <v>1</v>
      </c>
      <c r="F47" s="11" t="s">
        <v>75</v>
      </c>
      <c r="G47" s="11" t="s">
        <v>75</v>
      </c>
      <c r="I47" s="11">
        <v>2.0</v>
      </c>
      <c r="J47" s="11" t="b">
        <v>1</v>
      </c>
    </row>
    <row r="48">
      <c r="A48" s="11" t="s">
        <v>262</v>
      </c>
      <c r="B48" s="11" t="s">
        <v>505</v>
      </c>
      <c r="C48" s="11" t="s">
        <v>506</v>
      </c>
      <c r="D48" s="11" t="s">
        <v>477</v>
      </c>
      <c r="E48" s="11" t="b">
        <v>0</v>
      </c>
      <c r="F48" s="11" t="s">
        <v>75</v>
      </c>
      <c r="G48" s="11" t="s">
        <v>382</v>
      </c>
      <c r="H48" s="11" t="s">
        <v>561</v>
      </c>
      <c r="I48" s="11">
        <v>3.0</v>
      </c>
      <c r="J48" s="11" t="b">
        <v>1</v>
      </c>
      <c r="K48" s="11" t="s">
        <v>587</v>
      </c>
    </row>
    <row r="49">
      <c r="A49" s="11" t="s">
        <v>262</v>
      </c>
      <c r="B49" s="11" t="s">
        <v>588</v>
      </c>
      <c r="C49" s="11" t="s">
        <v>589</v>
      </c>
      <c r="D49" s="11" t="s">
        <v>477</v>
      </c>
      <c r="E49" s="11" t="b">
        <v>0</v>
      </c>
      <c r="F49" s="11" t="s">
        <v>75</v>
      </c>
      <c r="G49" s="11" t="s">
        <v>417</v>
      </c>
      <c r="H49" s="11" t="s">
        <v>416</v>
      </c>
      <c r="I49" s="11">
        <v>4.0</v>
      </c>
      <c r="J49" s="11" t="b">
        <v>1</v>
      </c>
    </row>
    <row r="50">
      <c r="A50" s="11" t="s">
        <v>262</v>
      </c>
      <c r="B50" s="11" t="s">
        <v>590</v>
      </c>
      <c r="C50" s="11" t="s">
        <v>591</v>
      </c>
      <c r="D50" s="11" t="s">
        <v>477</v>
      </c>
      <c r="E50" s="11" t="b">
        <v>1</v>
      </c>
      <c r="F50" s="11" t="s">
        <v>402</v>
      </c>
      <c r="G50" s="11" t="s">
        <v>490</v>
      </c>
      <c r="H50" s="11" t="s">
        <v>592</v>
      </c>
      <c r="I50" s="11">
        <v>5.0</v>
      </c>
      <c r="J50" s="11" t="b">
        <v>1</v>
      </c>
    </row>
    <row r="51">
      <c r="A51" s="11" t="s">
        <v>262</v>
      </c>
      <c r="B51" s="11" t="s">
        <v>593</v>
      </c>
      <c r="C51" s="11" t="s">
        <v>594</v>
      </c>
      <c r="D51" s="11" t="s">
        <v>216</v>
      </c>
      <c r="E51" s="11" t="b">
        <v>1</v>
      </c>
      <c r="F51" s="11" t="s">
        <v>402</v>
      </c>
      <c r="G51" s="11" t="s">
        <v>495</v>
      </c>
      <c r="I51" s="11">
        <v>6.0</v>
      </c>
      <c r="J51" s="11" t="b">
        <v>1</v>
      </c>
    </row>
    <row r="52">
      <c r="A52" s="11" t="s">
        <v>262</v>
      </c>
      <c r="B52" s="11" t="s">
        <v>595</v>
      </c>
      <c r="C52" s="11" t="s">
        <v>596</v>
      </c>
      <c r="D52" s="11" t="s">
        <v>216</v>
      </c>
      <c r="E52" s="11" t="b">
        <v>1</v>
      </c>
      <c r="F52" s="11" t="s">
        <v>75</v>
      </c>
      <c r="G52" s="11" t="s">
        <v>597</v>
      </c>
      <c r="I52" s="11">
        <v>7.0</v>
      </c>
      <c r="J52" s="11" t="b">
        <v>1</v>
      </c>
    </row>
    <row r="53">
      <c r="A53" s="11" t="s">
        <v>262</v>
      </c>
      <c r="B53" s="11" t="s">
        <v>598</v>
      </c>
      <c r="C53" s="11" t="s">
        <v>599</v>
      </c>
      <c r="D53" s="11" t="s">
        <v>216</v>
      </c>
      <c r="E53" s="11" t="b">
        <v>1</v>
      </c>
      <c r="F53" s="11" t="s">
        <v>75</v>
      </c>
      <c r="G53" s="11" t="s">
        <v>597</v>
      </c>
      <c r="I53" s="11">
        <v>8.0</v>
      </c>
      <c r="J53" s="11" t="b">
        <v>1</v>
      </c>
    </row>
    <row r="54">
      <c r="A54" s="11" t="s">
        <v>262</v>
      </c>
      <c r="B54" s="11" t="s">
        <v>600</v>
      </c>
      <c r="C54" s="11" t="s">
        <v>601</v>
      </c>
      <c r="D54" s="11" t="s">
        <v>261</v>
      </c>
      <c r="E54" s="11" t="b">
        <v>1</v>
      </c>
      <c r="F54" s="11" t="s">
        <v>75</v>
      </c>
      <c r="G54" s="11" t="s">
        <v>597</v>
      </c>
      <c r="I54" s="11">
        <v>9.0</v>
      </c>
      <c r="J54" s="11" t="b">
        <v>1</v>
      </c>
    </row>
    <row r="55">
      <c r="A55" s="11" t="s">
        <v>262</v>
      </c>
      <c r="B55" s="11" t="s">
        <v>602</v>
      </c>
      <c r="C55" s="11" t="s">
        <v>603</v>
      </c>
      <c r="D55" s="11" t="s">
        <v>216</v>
      </c>
      <c r="E55" s="11" t="b">
        <v>1</v>
      </c>
      <c r="F55" s="11" t="s">
        <v>75</v>
      </c>
      <c r="G55" s="11" t="s">
        <v>485</v>
      </c>
      <c r="I55" s="11">
        <v>10.0</v>
      </c>
      <c r="J55" s="11" t="b">
        <v>1</v>
      </c>
    </row>
    <row r="56">
      <c r="A56" s="11" t="s">
        <v>262</v>
      </c>
      <c r="B56" s="11" t="s">
        <v>604</v>
      </c>
      <c r="C56" s="11" t="s">
        <v>605</v>
      </c>
      <c r="D56" s="11" t="s">
        <v>287</v>
      </c>
      <c r="E56" s="11" t="b">
        <v>1</v>
      </c>
      <c r="F56" s="11" t="s">
        <v>75</v>
      </c>
      <c r="G56" s="11" t="s">
        <v>485</v>
      </c>
      <c r="I56" s="11">
        <v>11.0</v>
      </c>
      <c r="J56" s="11" t="b">
        <v>1</v>
      </c>
    </row>
    <row r="57">
      <c r="A57" s="11" t="s">
        <v>262</v>
      </c>
      <c r="B57" s="11" t="s">
        <v>345</v>
      </c>
      <c r="C57" s="11" t="s">
        <v>606</v>
      </c>
      <c r="D57" s="11" t="s">
        <v>216</v>
      </c>
      <c r="E57" s="11" t="b">
        <v>1</v>
      </c>
      <c r="F57" s="11" t="s">
        <v>75</v>
      </c>
      <c r="G57" s="11" t="s">
        <v>372</v>
      </c>
      <c r="I57" s="11">
        <v>12.0</v>
      </c>
      <c r="J57" s="11" t="b">
        <v>1</v>
      </c>
    </row>
    <row r="58">
      <c r="A58" s="11" t="s">
        <v>262</v>
      </c>
      <c r="B58" s="11" t="s">
        <v>607</v>
      </c>
      <c r="C58" s="11" t="s">
        <v>608</v>
      </c>
      <c r="D58" s="11" t="s">
        <v>494</v>
      </c>
      <c r="E58" s="11" t="b">
        <v>0</v>
      </c>
      <c r="F58" s="11" t="s">
        <v>402</v>
      </c>
      <c r="G58" s="11" t="s">
        <v>495</v>
      </c>
      <c r="I58" s="11">
        <v>13.0</v>
      </c>
      <c r="J58" s="11" t="b">
        <v>1</v>
      </c>
    </row>
    <row r="59">
      <c r="A59" s="11" t="s">
        <v>262</v>
      </c>
      <c r="B59" s="11" t="s">
        <v>609</v>
      </c>
      <c r="C59" s="11" t="s">
        <v>610</v>
      </c>
      <c r="D59" s="11" t="s">
        <v>477</v>
      </c>
      <c r="E59" s="11" t="b">
        <v>1</v>
      </c>
      <c r="F59" s="11" t="s">
        <v>402</v>
      </c>
      <c r="G59" s="11" t="s">
        <v>490</v>
      </c>
      <c r="H59" s="11" t="s">
        <v>611</v>
      </c>
      <c r="I59" s="11">
        <v>14.0</v>
      </c>
      <c r="J59" s="11" t="b">
        <v>1</v>
      </c>
    </row>
    <row r="60">
      <c r="A60" s="11" t="s">
        <v>262</v>
      </c>
      <c r="B60" s="11" t="s">
        <v>537</v>
      </c>
      <c r="C60" s="11" t="s">
        <v>612</v>
      </c>
      <c r="D60" s="11" t="s">
        <v>477</v>
      </c>
      <c r="E60" s="11" t="b">
        <v>1</v>
      </c>
      <c r="F60" s="11" t="s">
        <v>613</v>
      </c>
      <c r="G60" s="11" t="s">
        <v>490</v>
      </c>
      <c r="H60" s="11" t="s">
        <v>614</v>
      </c>
      <c r="I60" s="11">
        <v>15.0</v>
      </c>
      <c r="J60" s="11" t="b">
        <v>1</v>
      </c>
    </row>
    <row r="61">
      <c r="A61" s="11" t="s">
        <v>262</v>
      </c>
      <c r="B61" s="11" t="s">
        <v>615</v>
      </c>
      <c r="C61" s="11" t="s">
        <v>616</v>
      </c>
      <c r="D61" s="11" t="s">
        <v>477</v>
      </c>
      <c r="E61" s="11" t="b">
        <v>1</v>
      </c>
      <c r="F61" s="11" t="s">
        <v>75</v>
      </c>
      <c r="G61" s="11" t="s">
        <v>617</v>
      </c>
      <c r="H61" s="11" t="s">
        <v>140</v>
      </c>
      <c r="I61" s="11">
        <v>16.0</v>
      </c>
      <c r="J61" s="11" t="b">
        <v>1</v>
      </c>
    </row>
    <row r="62">
      <c r="A62" s="11" t="s">
        <v>262</v>
      </c>
      <c r="B62" s="11" t="s">
        <v>618</v>
      </c>
      <c r="C62" s="11" t="s">
        <v>619</v>
      </c>
      <c r="D62" s="11" t="s">
        <v>504</v>
      </c>
      <c r="E62" s="11" t="b">
        <v>1</v>
      </c>
      <c r="F62" s="11" t="s">
        <v>75</v>
      </c>
      <c r="G62" s="11" t="s">
        <v>75</v>
      </c>
      <c r="I62" s="11">
        <v>17.0</v>
      </c>
      <c r="J62" s="11" t="b">
        <v>1</v>
      </c>
    </row>
    <row r="63">
      <c r="A63" s="11" t="s">
        <v>262</v>
      </c>
      <c r="B63" s="11" t="s">
        <v>620</v>
      </c>
      <c r="C63" s="11" t="s">
        <v>621</v>
      </c>
      <c r="D63" s="11" t="s">
        <v>477</v>
      </c>
      <c r="E63" s="11" t="b">
        <v>0</v>
      </c>
      <c r="F63" s="11" t="s">
        <v>75</v>
      </c>
      <c r="G63" s="11" t="s">
        <v>617</v>
      </c>
      <c r="H63" s="11" t="s">
        <v>140</v>
      </c>
      <c r="I63" s="11">
        <v>18.0</v>
      </c>
      <c r="J63" s="11" t="b">
        <v>1</v>
      </c>
    </row>
    <row r="64">
      <c r="A64" s="11" t="s">
        <v>262</v>
      </c>
      <c r="B64" s="11" t="s">
        <v>622</v>
      </c>
      <c r="C64" s="11" t="s">
        <v>623</v>
      </c>
      <c r="D64" s="11" t="s">
        <v>504</v>
      </c>
      <c r="E64" s="11" t="b">
        <v>0</v>
      </c>
      <c r="F64" s="11" t="s">
        <v>75</v>
      </c>
      <c r="G64" s="11" t="s">
        <v>75</v>
      </c>
      <c r="I64" s="11">
        <v>19.0</v>
      </c>
      <c r="J64" s="11" t="b">
        <v>1</v>
      </c>
    </row>
    <row r="65">
      <c r="A65" s="11" t="s">
        <v>262</v>
      </c>
      <c r="B65" s="11" t="s">
        <v>624</v>
      </c>
      <c r="C65" s="11" t="s">
        <v>625</v>
      </c>
      <c r="D65" s="11" t="s">
        <v>531</v>
      </c>
      <c r="E65" s="11" t="b">
        <v>0</v>
      </c>
      <c r="F65" s="11" t="s">
        <v>613</v>
      </c>
      <c r="G65" s="11" t="s">
        <v>495</v>
      </c>
      <c r="I65" s="11">
        <v>20.0</v>
      </c>
      <c r="J65" s="11" t="b">
        <v>1</v>
      </c>
    </row>
    <row r="66">
      <c r="A66" s="11" t="s">
        <v>406</v>
      </c>
      <c r="B66" s="11" t="s">
        <v>626</v>
      </c>
      <c r="C66" s="11" t="s">
        <v>627</v>
      </c>
      <c r="D66" s="11" t="s">
        <v>470</v>
      </c>
      <c r="E66" s="11" t="b">
        <v>1</v>
      </c>
      <c r="F66" s="11" t="s">
        <v>75</v>
      </c>
      <c r="G66" s="11" t="s">
        <v>75</v>
      </c>
      <c r="I66" s="11">
        <v>1.0</v>
      </c>
      <c r="J66" s="11" t="b">
        <v>1</v>
      </c>
    </row>
    <row r="67">
      <c r="A67" s="11" t="s">
        <v>406</v>
      </c>
      <c r="B67" s="11" t="s">
        <v>505</v>
      </c>
      <c r="C67" s="11" t="s">
        <v>506</v>
      </c>
      <c r="D67" s="11" t="s">
        <v>477</v>
      </c>
      <c r="E67" s="11" t="b">
        <v>1</v>
      </c>
      <c r="F67" s="11" t="s">
        <v>75</v>
      </c>
      <c r="G67" s="11" t="s">
        <v>382</v>
      </c>
      <c r="H67" s="11" t="s">
        <v>561</v>
      </c>
      <c r="I67" s="11">
        <v>2.0</v>
      </c>
      <c r="J67" s="11" t="b">
        <v>1</v>
      </c>
    </row>
    <row r="68">
      <c r="A68" s="11" t="s">
        <v>406</v>
      </c>
      <c r="B68" s="11" t="s">
        <v>628</v>
      </c>
      <c r="C68" s="11" t="s">
        <v>629</v>
      </c>
      <c r="D68" s="11" t="s">
        <v>477</v>
      </c>
      <c r="E68" s="11" t="b">
        <v>1</v>
      </c>
      <c r="F68" s="11" t="s">
        <v>75</v>
      </c>
      <c r="G68" s="11" t="s">
        <v>617</v>
      </c>
      <c r="H68" s="11" t="s">
        <v>140</v>
      </c>
      <c r="I68" s="11">
        <v>3.0</v>
      </c>
      <c r="J68" s="11" t="b">
        <v>1</v>
      </c>
    </row>
    <row r="69">
      <c r="A69" s="11" t="s">
        <v>406</v>
      </c>
      <c r="B69" s="11" t="s">
        <v>630</v>
      </c>
      <c r="C69" s="11" t="s">
        <v>631</v>
      </c>
      <c r="D69" s="11" t="s">
        <v>531</v>
      </c>
      <c r="E69" s="11" t="b">
        <v>0</v>
      </c>
      <c r="F69" s="11" t="s">
        <v>411</v>
      </c>
      <c r="G69" s="11" t="s">
        <v>495</v>
      </c>
      <c r="I69" s="11">
        <v>4.0</v>
      </c>
      <c r="J69" s="11" t="b">
        <v>1</v>
      </c>
    </row>
    <row r="70">
      <c r="A70" s="11" t="s">
        <v>406</v>
      </c>
      <c r="B70" s="11" t="s">
        <v>632</v>
      </c>
      <c r="C70" s="11" t="s">
        <v>633</v>
      </c>
      <c r="D70" s="11" t="s">
        <v>216</v>
      </c>
      <c r="E70" s="11" t="b">
        <v>0</v>
      </c>
      <c r="F70" s="11" t="s">
        <v>411</v>
      </c>
      <c r="G70" s="11" t="s">
        <v>495</v>
      </c>
      <c r="I70" s="11">
        <v>5.0</v>
      </c>
      <c r="J70" s="11" t="b">
        <v>1</v>
      </c>
    </row>
    <row r="71">
      <c r="A71" s="11" t="s">
        <v>406</v>
      </c>
      <c r="B71" s="11" t="s">
        <v>634</v>
      </c>
      <c r="C71" s="11" t="s">
        <v>635</v>
      </c>
      <c r="D71" s="11" t="s">
        <v>531</v>
      </c>
      <c r="E71" s="11" t="b">
        <v>1</v>
      </c>
      <c r="F71" s="11" t="s">
        <v>411</v>
      </c>
      <c r="G71" s="11" t="s">
        <v>495</v>
      </c>
      <c r="I71" s="11">
        <v>6.0</v>
      </c>
      <c r="J71" s="11" t="b">
        <v>1</v>
      </c>
    </row>
    <row r="72">
      <c r="A72" s="11" t="s">
        <v>406</v>
      </c>
      <c r="B72" s="11" t="s">
        <v>636</v>
      </c>
      <c r="C72" s="11" t="s">
        <v>637</v>
      </c>
      <c r="D72" s="11" t="s">
        <v>531</v>
      </c>
      <c r="E72" s="11" t="b">
        <v>1</v>
      </c>
      <c r="F72" s="11" t="s">
        <v>411</v>
      </c>
      <c r="G72" s="11" t="s">
        <v>495</v>
      </c>
      <c r="I72" s="11">
        <v>7.0</v>
      </c>
      <c r="J72" s="11" t="b">
        <v>1</v>
      </c>
    </row>
    <row r="73">
      <c r="A73" s="11" t="s">
        <v>406</v>
      </c>
      <c r="B73" s="11" t="s">
        <v>487</v>
      </c>
      <c r="C73" s="11" t="s">
        <v>638</v>
      </c>
      <c r="D73" s="11" t="s">
        <v>477</v>
      </c>
      <c r="E73" s="11" t="b">
        <v>1</v>
      </c>
      <c r="F73" s="11" t="s">
        <v>411</v>
      </c>
      <c r="G73" s="11" t="s">
        <v>490</v>
      </c>
      <c r="H73" s="11" t="s">
        <v>639</v>
      </c>
      <c r="I73" s="11">
        <v>8.0</v>
      </c>
      <c r="J73" s="11" t="b">
        <v>1</v>
      </c>
    </row>
    <row r="74">
      <c r="A74" s="11" t="s">
        <v>406</v>
      </c>
      <c r="B74" s="11" t="s">
        <v>640</v>
      </c>
      <c r="C74" s="11" t="s">
        <v>641</v>
      </c>
      <c r="D74" s="11" t="s">
        <v>261</v>
      </c>
      <c r="E74" s="11" t="b">
        <v>0</v>
      </c>
      <c r="F74" s="11" t="s">
        <v>411</v>
      </c>
      <c r="G74" s="11" t="s">
        <v>495</v>
      </c>
      <c r="H74" s="11" t="s">
        <v>642</v>
      </c>
      <c r="I74" s="11">
        <v>9.0</v>
      </c>
      <c r="J74" s="11" t="b">
        <v>1</v>
      </c>
    </row>
    <row r="75">
      <c r="A75" s="11" t="s">
        <v>406</v>
      </c>
      <c r="B75" s="11" t="s">
        <v>643</v>
      </c>
      <c r="C75" s="11" t="s">
        <v>644</v>
      </c>
      <c r="D75" s="11" t="s">
        <v>515</v>
      </c>
      <c r="E75" s="11" t="b">
        <v>0</v>
      </c>
      <c r="F75" s="11" t="s">
        <v>411</v>
      </c>
      <c r="G75" s="11" t="s">
        <v>399</v>
      </c>
      <c r="H75" s="11" t="s">
        <v>262</v>
      </c>
      <c r="I75" s="11">
        <v>10.0</v>
      </c>
      <c r="J75" s="11" t="b">
        <v>1</v>
      </c>
    </row>
    <row r="76">
      <c r="A76" s="11" t="s">
        <v>406</v>
      </c>
      <c r="B76" s="11" t="s">
        <v>55</v>
      </c>
      <c r="C76" s="11" t="s">
        <v>503</v>
      </c>
      <c r="D76" s="11" t="s">
        <v>504</v>
      </c>
      <c r="E76" s="11" t="b">
        <v>1</v>
      </c>
      <c r="F76" s="11" t="s">
        <v>75</v>
      </c>
      <c r="G76" s="11" t="s">
        <v>75</v>
      </c>
      <c r="I76" s="11">
        <v>11.0</v>
      </c>
      <c r="J76" s="11" t="b">
        <v>1</v>
      </c>
    </row>
    <row r="77">
      <c r="A77" s="11" t="s">
        <v>406</v>
      </c>
      <c r="B77" s="11" t="s">
        <v>213</v>
      </c>
      <c r="C77" s="11" t="s">
        <v>645</v>
      </c>
      <c r="D77" s="11" t="s">
        <v>504</v>
      </c>
      <c r="E77" s="11" t="b">
        <v>1</v>
      </c>
      <c r="F77" s="11" t="s">
        <v>75</v>
      </c>
      <c r="G77" s="11" t="s">
        <v>75</v>
      </c>
      <c r="I77" s="11">
        <v>12.0</v>
      </c>
      <c r="J77" s="11" t="b">
        <v>1</v>
      </c>
    </row>
    <row r="78">
      <c r="A78" s="11" t="s">
        <v>416</v>
      </c>
      <c r="B78" s="11" t="s">
        <v>588</v>
      </c>
      <c r="C78" s="11" t="s">
        <v>589</v>
      </c>
      <c r="D78" s="11" t="s">
        <v>470</v>
      </c>
      <c r="E78" s="11" t="b">
        <v>1</v>
      </c>
      <c r="F78" s="11" t="s">
        <v>75</v>
      </c>
      <c r="G78" s="11" t="s">
        <v>75</v>
      </c>
      <c r="I78" s="11">
        <v>1.0</v>
      </c>
      <c r="J78" s="11" t="b">
        <v>1</v>
      </c>
    </row>
    <row r="79">
      <c r="A79" s="11" t="s">
        <v>416</v>
      </c>
      <c r="B79" s="11" t="s">
        <v>646</v>
      </c>
      <c r="C79" s="11" t="s">
        <v>647</v>
      </c>
      <c r="D79" s="11" t="s">
        <v>216</v>
      </c>
      <c r="E79" s="11" t="b">
        <v>1</v>
      </c>
      <c r="F79" s="11" t="s">
        <v>75</v>
      </c>
      <c r="G79" s="11" t="s">
        <v>75</v>
      </c>
      <c r="I79" s="11">
        <v>2.0</v>
      </c>
      <c r="J79" s="11" t="b">
        <v>1</v>
      </c>
    </row>
    <row r="80">
      <c r="A80" s="11" t="s">
        <v>416</v>
      </c>
      <c r="B80" s="11" t="s">
        <v>505</v>
      </c>
      <c r="C80" s="11" t="s">
        <v>506</v>
      </c>
      <c r="D80" s="11" t="s">
        <v>477</v>
      </c>
      <c r="E80" s="11" t="b">
        <v>0</v>
      </c>
      <c r="F80" s="11" t="s">
        <v>75</v>
      </c>
      <c r="G80" s="11" t="s">
        <v>382</v>
      </c>
      <c r="H80" s="11" t="s">
        <v>561</v>
      </c>
      <c r="I80" s="11">
        <v>3.0</v>
      </c>
      <c r="J80" s="11" t="b">
        <v>1</v>
      </c>
    </row>
    <row r="81">
      <c r="A81" s="11" t="s">
        <v>416</v>
      </c>
      <c r="B81" s="11" t="s">
        <v>648</v>
      </c>
      <c r="C81" s="11" t="s">
        <v>649</v>
      </c>
      <c r="D81" s="11" t="s">
        <v>477</v>
      </c>
      <c r="E81" s="11" t="b">
        <v>1</v>
      </c>
      <c r="F81" s="11" t="s">
        <v>411</v>
      </c>
      <c r="G81" s="11" t="s">
        <v>490</v>
      </c>
      <c r="H81" s="11" t="s">
        <v>650</v>
      </c>
      <c r="I81" s="11">
        <v>4.0</v>
      </c>
      <c r="J81" s="11" t="b">
        <v>1</v>
      </c>
    </row>
    <row r="82">
      <c r="A82" s="11" t="s">
        <v>416</v>
      </c>
      <c r="B82" s="11" t="s">
        <v>651</v>
      </c>
      <c r="C82" s="11" t="s">
        <v>652</v>
      </c>
      <c r="D82" s="11" t="s">
        <v>531</v>
      </c>
      <c r="E82" s="11" t="b">
        <v>1</v>
      </c>
      <c r="F82" s="11" t="s">
        <v>411</v>
      </c>
      <c r="G82" s="11" t="s">
        <v>520</v>
      </c>
      <c r="I82" s="11">
        <v>5.0</v>
      </c>
      <c r="J82" s="11" t="b">
        <v>1</v>
      </c>
    </row>
    <row r="83">
      <c r="A83" s="11" t="s">
        <v>416</v>
      </c>
      <c r="B83" s="11" t="s">
        <v>653</v>
      </c>
      <c r="C83" s="11" t="s">
        <v>654</v>
      </c>
      <c r="D83" s="11" t="s">
        <v>216</v>
      </c>
      <c r="E83" s="11" t="b">
        <v>1</v>
      </c>
      <c r="F83" s="11" t="s">
        <v>411</v>
      </c>
      <c r="G83" s="11" t="s">
        <v>524</v>
      </c>
      <c r="H83" s="11" t="s">
        <v>655</v>
      </c>
      <c r="I83" s="11">
        <v>6.0</v>
      </c>
      <c r="J83" s="11" t="b">
        <v>1</v>
      </c>
    </row>
    <row r="84">
      <c r="A84" s="11" t="s">
        <v>416</v>
      </c>
      <c r="B84" s="11" t="s">
        <v>656</v>
      </c>
      <c r="C84" s="11" t="s">
        <v>657</v>
      </c>
      <c r="D84" s="11" t="s">
        <v>531</v>
      </c>
      <c r="E84" s="11" t="b">
        <v>1</v>
      </c>
      <c r="F84" s="11" t="s">
        <v>411</v>
      </c>
      <c r="G84" s="11" t="s">
        <v>495</v>
      </c>
      <c r="I84" s="11">
        <v>7.0</v>
      </c>
      <c r="J84" s="11" t="b">
        <v>1</v>
      </c>
    </row>
    <row r="85">
      <c r="A85" s="11" t="s">
        <v>416</v>
      </c>
      <c r="B85" s="11" t="s">
        <v>634</v>
      </c>
      <c r="C85" s="11" t="s">
        <v>635</v>
      </c>
      <c r="D85" s="11" t="s">
        <v>531</v>
      </c>
      <c r="E85" s="11" t="b">
        <v>1</v>
      </c>
      <c r="F85" s="11" t="s">
        <v>411</v>
      </c>
      <c r="G85" s="11" t="s">
        <v>407</v>
      </c>
      <c r="I85" s="11">
        <v>8.0</v>
      </c>
      <c r="J85" s="11" t="b">
        <v>1</v>
      </c>
    </row>
    <row r="86">
      <c r="A86" s="11" t="s">
        <v>416</v>
      </c>
      <c r="B86" s="11" t="s">
        <v>658</v>
      </c>
      <c r="C86" s="11" t="s">
        <v>659</v>
      </c>
      <c r="D86" s="11" t="s">
        <v>531</v>
      </c>
      <c r="E86" s="11" t="b">
        <v>1</v>
      </c>
      <c r="F86" s="11" t="s">
        <v>411</v>
      </c>
      <c r="G86" s="11" t="s">
        <v>495</v>
      </c>
      <c r="I86" s="11">
        <v>9.0</v>
      </c>
      <c r="J86" s="11" t="b">
        <v>1</v>
      </c>
    </row>
    <row r="87">
      <c r="A87" s="11" t="s">
        <v>416</v>
      </c>
      <c r="B87" s="11" t="s">
        <v>660</v>
      </c>
      <c r="C87" s="11" t="s">
        <v>661</v>
      </c>
      <c r="D87" s="11" t="s">
        <v>531</v>
      </c>
      <c r="E87" s="11" t="b">
        <v>0</v>
      </c>
      <c r="F87" s="11" t="s">
        <v>411</v>
      </c>
      <c r="G87" s="11" t="s">
        <v>495</v>
      </c>
      <c r="I87" s="11">
        <v>10.0</v>
      </c>
      <c r="J87" s="11" t="b">
        <v>1</v>
      </c>
    </row>
    <row r="88">
      <c r="A88" s="11" t="s">
        <v>416</v>
      </c>
      <c r="B88" s="11" t="s">
        <v>662</v>
      </c>
      <c r="C88" s="11" t="s">
        <v>663</v>
      </c>
      <c r="D88" s="11" t="s">
        <v>477</v>
      </c>
      <c r="E88" s="11" t="b">
        <v>1</v>
      </c>
      <c r="F88" s="11" t="s">
        <v>75</v>
      </c>
      <c r="G88" s="11" t="s">
        <v>490</v>
      </c>
      <c r="H88" s="11" t="s">
        <v>664</v>
      </c>
      <c r="I88" s="11">
        <v>11.0</v>
      </c>
      <c r="J88" s="11" t="b">
        <v>1</v>
      </c>
    </row>
    <row r="89">
      <c r="A89" s="11" t="s">
        <v>416</v>
      </c>
      <c r="B89" s="11" t="s">
        <v>665</v>
      </c>
      <c r="C89" s="11" t="s">
        <v>666</v>
      </c>
      <c r="D89" s="11" t="s">
        <v>477</v>
      </c>
      <c r="E89" s="11" t="b">
        <v>1</v>
      </c>
      <c r="F89" s="11" t="s">
        <v>667</v>
      </c>
      <c r="G89" s="11" t="s">
        <v>617</v>
      </c>
      <c r="H89" s="11" t="s">
        <v>668</v>
      </c>
      <c r="I89" s="11">
        <v>12.0</v>
      </c>
      <c r="J89" s="11" t="b">
        <v>1</v>
      </c>
    </row>
    <row r="90">
      <c r="A90" s="11" t="s">
        <v>416</v>
      </c>
      <c r="B90" s="11" t="s">
        <v>669</v>
      </c>
      <c r="C90" s="11" t="s">
        <v>670</v>
      </c>
      <c r="D90" s="11" t="s">
        <v>494</v>
      </c>
      <c r="E90" s="11" t="b">
        <v>1</v>
      </c>
      <c r="F90" s="11" t="s">
        <v>667</v>
      </c>
      <c r="G90" s="11" t="s">
        <v>495</v>
      </c>
      <c r="I90" s="11">
        <v>13.0</v>
      </c>
      <c r="J90" s="11" t="b">
        <v>1</v>
      </c>
    </row>
    <row r="91">
      <c r="A91" s="11" t="s">
        <v>416</v>
      </c>
      <c r="B91" s="11" t="s">
        <v>671</v>
      </c>
      <c r="C91" s="11" t="s">
        <v>672</v>
      </c>
      <c r="D91" s="11" t="s">
        <v>477</v>
      </c>
      <c r="E91" s="11" t="b">
        <v>1</v>
      </c>
      <c r="F91" s="11" t="s">
        <v>75</v>
      </c>
      <c r="G91" s="11" t="s">
        <v>617</v>
      </c>
      <c r="H91" s="11" t="s">
        <v>140</v>
      </c>
      <c r="I91" s="11">
        <v>14.0</v>
      </c>
      <c r="J91" s="11" t="b">
        <v>1</v>
      </c>
    </row>
    <row r="92">
      <c r="A92" s="11" t="s">
        <v>416</v>
      </c>
      <c r="B92" s="11" t="s">
        <v>578</v>
      </c>
      <c r="C92" s="11" t="s">
        <v>673</v>
      </c>
      <c r="D92" s="11" t="s">
        <v>477</v>
      </c>
      <c r="E92" s="11" t="b">
        <v>0</v>
      </c>
      <c r="F92" s="11" t="s">
        <v>75</v>
      </c>
      <c r="G92" s="11" t="s">
        <v>617</v>
      </c>
      <c r="H92" s="11" t="s">
        <v>140</v>
      </c>
      <c r="I92" s="11">
        <v>15.0</v>
      </c>
      <c r="J92" s="11" t="b">
        <v>1</v>
      </c>
    </row>
    <row r="93">
      <c r="A93" s="11" t="s">
        <v>416</v>
      </c>
      <c r="B93" s="11" t="s">
        <v>581</v>
      </c>
      <c r="C93" s="11" t="s">
        <v>674</v>
      </c>
      <c r="D93" s="11" t="s">
        <v>504</v>
      </c>
      <c r="E93" s="11" t="b">
        <v>0</v>
      </c>
      <c r="F93" s="11" t="s">
        <v>75</v>
      </c>
      <c r="G93" s="11" t="s">
        <v>75</v>
      </c>
      <c r="I93" s="11">
        <v>16.0</v>
      </c>
      <c r="J93" s="11" t="b">
        <v>1</v>
      </c>
    </row>
    <row r="94">
      <c r="A94" s="11" t="s">
        <v>423</v>
      </c>
      <c r="B94" s="11" t="s">
        <v>675</v>
      </c>
      <c r="C94" s="11" t="s">
        <v>676</v>
      </c>
      <c r="D94" s="11" t="s">
        <v>470</v>
      </c>
      <c r="E94" s="11" t="b">
        <v>1</v>
      </c>
      <c r="F94" s="11" t="s">
        <v>75</v>
      </c>
      <c r="G94" s="11" t="s">
        <v>75</v>
      </c>
      <c r="I94" s="11">
        <v>1.0</v>
      </c>
      <c r="J94" s="11" t="b">
        <v>1</v>
      </c>
    </row>
    <row r="95">
      <c r="A95" s="11" t="s">
        <v>423</v>
      </c>
      <c r="B95" s="11" t="s">
        <v>588</v>
      </c>
      <c r="C95" s="11" t="s">
        <v>589</v>
      </c>
      <c r="D95" s="11" t="s">
        <v>477</v>
      </c>
      <c r="E95" s="11" t="b">
        <v>1</v>
      </c>
      <c r="F95" s="11" t="s">
        <v>75</v>
      </c>
      <c r="G95" s="11" t="s">
        <v>417</v>
      </c>
      <c r="H95" s="11" t="s">
        <v>416</v>
      </c>
      <c r="I95" s="11">
        <v>2.0</v>
      </c>
      <c r="J95" s="11" t="b">
        <v>1</v>
      </c>
    </row>
    <row r="96">
      <c r="A96" s="11" t="s">
        <v>423</v>
      </c>
      <c r="B96" s="11" t="s">
        <v>677</v>
      </c>
      <c r="C96" s="11" t="s">
        <v>678</v>
      </c>
      <c r="D96" s="11" t="s">
        <v>531</v>
      </c>
      <c r="E96" s="11" t="b">
        <v>0</v>
      </c>
      <c r="F96" s="11" t="s">
        <v>395</v>
      </c>
      <c r="G96" s="11" t="s">
        <v>495</v>
      </c>
      <c r="I96" s="11">
        <v>3.0</v>
      </c>
      <c r="J96" s="11" t="b">
        <v>1</v>
      </c>
    </row>
    <row r="97">
      <c r="A97" s="11" t="s">
        <v>423</v>
      </c>
      <c r="B97" s="11" t="s">
        <v>679</v>
      </c>
      <c r="C97" s="11" t="s">
        <v>680</v>
      </c>
      <c r="D97" s="11" t="s">
        <v>477</v>
      </c>
      <c r="E97" s="11" t="b">
        <v>1</v>
      </c>
      <c r="F97" s="11" t="s">
        <v>395</v>
      </c>
      <c r="G97" s="11" t="s">
        <v>490</v>
      </c>
      <c r="H97" s="11" t="s">
        <v>681</v>
      </c>
      <c r="I97" s="11">
        <v>4.0</v>
      </c>
      <c r="J97" s="11" t="b">
        <v>1</v>
      </c>
    </row>
    <row r="98">
      <c r="A98" s="11" t="s">
        <v>423</v>
      </c>
      <c r="B98" s="11" t="s">
        <v>682</v>
      </c>
      <c r="C98" s="11" t="s">
        <v>683</v>
      </c>
      <c r="D98" s="11" t="s">
        <v>531</v>
      </c>
      <c r="E98" s="11" t="b">
        <v>1</v>
      </c>
      <c r="F98" s="11" t="s">
        <v>395</v>
      </c>
      <c r="G98" s="11" t="s">
        <v>495</v>
      </c>
      <c r="I98" s="11">
        <v>5.0</v>
      </c>
      <c r="J98" s="11" t="b">
        <v>1</v>
      </c>
    </row>
    <row r="99">
      <c r="A99" s="11" t="s">
        <v>423</v>
      </c>
      <c r="B99" s="11" t="s">
        <v>684</v>
      </c>
      <c r="C99" s="11" t="s">
        <v>685</v>
      </c>
      <c r="D99" s="11" t="s">
        <v>531</v>
      </c>
      <c r="E99" s="11" t="b">
        <v>1</v>
      </c>
      <c r="F99" s="11" t="s">
        <v>395</v>
      </c>
      <c r="G99" s="11" t="s">
        <v>495</v>
      </c>
      <c r="I99" s="11">
        <v>6.0</v>
      </c>
      <c r="J99" s="11" t="b">
        <v>1</v>
      </c>
    </row>
    <row r="100">
      <c r="A100" s="11" t="s">
        <v>423</v>
      </c>
      <c r="B100" s="11" t="s">
        <v>686</v>
      </c>
      <c r="C100" s="11" t="s">
        <v>687</v>
      </c>
      <c r="D100" s="11" t="s">
        <v>531</v>
      </c>
      <c r="E100" s="11" t="b">
        <v>1</v>
      </c>
      <c r="F100" s="11" t="s">
        <v>395</v>
      </c>
      <c r="G100" s="11" t="s">
        <v>495</v>
      </c>
      <c r="I100" s="11">
        <v>7.0</v>
      </c>
      <c r="J100" s="11" t="b">
        <v>1</v>
      </c>
    </row>
    <row r="101">
      <c r="A101" s="11" t="s">
        <v>423</v>
      </c>
      <c r="B101" s="11" t="s">
        <v>688</v>
      </c>
      <c r="C101" s="11" t="s">
        <v>689</v>
      </c>
      <c r="D101" s="11" t="s">
        <v>477</v>
      </c>
      <c r="E101" s="11" t="b">
        <v>1</v>
      </c>
      <c r="F101" s="11" t="s">
        <v>395</v>
      </c>
      <c r="G101" s="11" t="s">
        <v>617</v>
      </c>
      <c r="H101" s="11" t="s">
        <v>668</v>
      </c>
      <c r="I101" s="11">
        <v>8.0</v>
      </c>
      <c r="J101" s="11" t="b">
        <v>1</v>
      </c>
    </row>
    <row r="102">
      <c r="A102" s="11" t="s">
        <v>423</v>
      </c>
      <c r="B102" s="11" t="s">
        <v>690</v>
      </c>
      <c r="C102" s="11" t="s">
        <v>691</v>
      </c>
      <c r="D102" s="11" t="s">
        <v>494</v>
      </c>
      <c r="E102" s="11" t="b">
        <v>1</v>
      </c>
      <c r="F102" s="11" t="s">
        <v>395</v>
      </c>
      <c r="G102" s="11" t="s">
        <v>495</v>
      </c>
      <c r="I102" s="11">
        <v>9.0</v>
      </c>
      <c r="J102" s="11" t="b">
        <v>1</v>
      </c>
    </row>
    <row r="103">
      <c r="A103" s="11" t="s">
        <v>423</v>
      </c>
      <c r="B103" s="11" t="s">
        <v>692</v>
      </c>
      <c r="C103" s="11" t="s">
        <v>693</v>
      </c>
      <c r="D103" s="11" t="s">
        <v>261</v>
      </c>
      <c r="E103" s="11" t="b">
        <v>1</v>
      </c>
      <c r="F103" s="11" t="s">
        <v>395</v>
      </c>
      <c r="G103" s="11" t="s">
        <v>495</v>
      </c>
      <c r="I103" s="11">
        <v>10.0</v>
      </c>
      <c r="J103" s="11" t="b">
        <v>1</v>
      </c>
    </row>
    <row r="104">
      <c r="A104" s="11" t="s">
        <v>423</v>
      </c>
      <c r="B104" s="11" t="s">
        <v>694</v>
      </c>
      <c r="C104" s="11" t="s">
        <v>695</v>
      </c>
      <c r="D104" s="11" t="s">
        <v>531</v>
      </c>
      <c r="E104" s="11" t="b">
        <v>0</v>
      </c>
      <c r="F104" s="11" t="s">
        <v>395</v>
      </c>
      <c r="G104" s="11" t="s">
        <v>495</v>
      </c>
      <c r="I104" s="11">
        <v>11.0</v>
      </c>
      <c r="J104" s="11" t="b">
        <v>1</v>
      </c>
    </row>
    <row r="105">
      <c r="A105" s="11" t="s">
        <v>423</v>
      </c>
      <c r="B105" s="11" t="s">
        <v>696</v>
      </c>
      <c r="C105" s="11" t="s">
        <v>697</v>
      </c>
      <c r="D105" s="11" t="s">
        <v>515</v>
      </c>
      <c r="E105" s="11" t="b">
        <v>0</v>
      </c>
      <c r="F105" s="11" t="s">
        <v>395</v>
      </c>
      <c r="G105" s="11" t="s">
        <v>399</v>
      </c>
      <c r="H105" s="11" t="s">
        <v>262</v>
      </c>
      <c r="I105" s="11">
        <v>12.0</v>
      </c>
      <c r="J105" s="11" t="b">
        <v>1</v>
      </c>
    </row>
    <row r="106">
      <c r="A106" s="11" t="s">
        <v>423</v>
      </c>
      <c r="B106" s="11" t="s">
        <v>698</v>
      </c>
      <c r="C106" s="11" t="s">
        <v>699</v>
      </c>
      <c r="D106" s="11" t="s">
        <v>477</v>
      </c>
      <c r="E106" s="11" t="b">
        <v>1</v>
      </c>
      <c r="F106" s="11" t="s">
        <v>75</v>
      </c>
      <c r="G106" s="11" t="s">
        <v>490</v>
      </c>
      <c r="H106" s="11" t="s">
        <v>700</v>
      </c>
      <c r="I106" s="11">
        <v>13.0</v>
      </c>
      <c r="J106" s="11" t="b">
        <v>1</v>
      </c>
    </row>
    <row r="107">
      <c r="A107" s="11" t="s">
        <v>423</v>
      </c>
      <c r="B107" s="11" t="s">
        <v>574</v>
      </c>
      <c r="C107" s="11" t="s">
        <v>575</v>
      </c>
      <c r="D107" s="11" t="s">
        <v>477</v>
      </c>
      <c r="E107" s="11" t="b">
        <v>0</v>
      </c>
      <c r="F107" s="11" t="s">
        <v>75</v>
      </c>
      <c r="G107" s="11" t="s">
        <v>617</v>
      </c>
      <c r="H107" s="11" t="s">
        <v>140</v>
      </c>
      <c r="I107" s="11">
        <v>14.0</v>
      </c>
      <c r="J107" s="11" t="b">
        <v>1</v>
      </c>
    </row>
    <row r="108">
      <c r="A108" s="11" t="s">
        <v>423</v>
      </c>
      <c r="B108" s="11" t="s">
        <v>576</v>
      </c>
      <c r="C108" s="11" t="s">
        <v>577</v>
      </c>
      <c r="D108" s="11" t="s">
        <v>504</v>
      </c>
      <c r="E108" s="11" t="b">
        <v>0</v>
      </c>
      <c r="F108" s="11" t="s">
        <v>75</v>
      </c>
      <c r="G108" s="11" t="s">
        <v>75</v>
      </c>
      <c r="I108" s="11">
        <v>15.0</v>
      </c>
      <c r="J108" s="11" t="b">
        <v>1</v>
      </c>
    </row>
    <row r="109">
      <c r="A109" s="11" t="s">
        <v>429</v>
      </c>
      <c r="B109" s="11" t="s">
        <v>701</v>
      </c>
      <c r="C109" s="11" t="s">
        <v>702</v>
      </c>
      <c r="D109" s="11" t="s">
        <v>470</v>
      </c>
      <c r="E109" s="11" t="b">
        <v>1</v>
      </c>
      <c r="F109" s="11" t="s">
        <v>75</v>
      </c>
      <c r="G109" s="11" t="s">
        <v>75</v>
      </c>
      <c r="I109" s="11">
        <v>1.0</v>
      </c>
      <c r="J109" s="11" t="b">
        <v>1</v>
      </c>
    </row>
    <row r="110">
      <c r="A110" s="11" t="s">
        <v>429</v>
      </c>
      <c r="B110" s="11" t="s">
        <v>675</v>
      </c>
      <c r="C110" s="11" t="s">
        <v>676</v>
      </c>
      <c r="D110" s="11" t="s">
        <v>477</v>
      </c>
      <c r="E110" s="11" t="b">
        <v>1</v>
      </c>
      <c r="F110" s="11" t="s">
        <v>75</v>
      </c>
      <c r="G110" s="11" t="s">
        <v>424</v>
      </c>
      <c r="H110" s="11" t="s">
        <v>703</v>
      </c>
      <c r="I110" s="11">
        <v>2.0</v>
      </c>
      <c r="J110" s="11" t="b">
        <v>1</v>
      </c>
    </row>
    <row r="111">
      <c r="A111" s="11" t="s">
        <v>429</v>
      </c>
      <c r="B111" s="11" t="s">
        <v>704</v>
      </c>
      <c r="C111" s="11" t="s">
        <v>705</v>
      </c>
      <c r="D111" s="11" t="s">
        <v>477</v>
      </c>
      <c r="E111" s="11" t="b">
        <v>1</v>
      </c>
      <c r="F111" s="11" t="s">
        <v>75</v>
      </c>
      <c r="G111" s="11" t="s">
        <v>617</v>
      </c>
      <c r="H111" s="11" t="s">
        <v>140</v>
      </c>
      <c r="I111" s="11">
        <v>3.0</v>
      </c>
      <c r="J111" s="11" t="b">
        <v>1</v>
      </c>
    </row>
    <row r="112">
      <c r="A112" s="11" t="s">
        <v>429</v>
      </c>
      <c r="B112" s="11" t="s">
        <v>706</v>
      </c>
      <c r="C112" s="11" t="s">
        <v>707</v>
      </c>
      <c r="D112" s="11" t="s">
        <v>494</v>
      </c>
      <c r="E112" s="11" t="b">
        <v>1</v>
      </c>
      <c r="F112" s="11" t="s">
        <v>544</v>
      </c>
      <c r="G112" s="11" t="s">
        <v>495</v>
      </c>
      <c r="I112" s="11">
        <v>4.0</v>
      </c>
      <c r="J112" s="11" t="b">
        <v>1</v>
      </c>
    </row>
    <row r="113">
      <c r="A113" s="11" t="s">
        <v>429</v>
      </c>
      <c r="B113" s="11" t="s">
        <v>708</v>
      </c>
      <c r="C113" s="11" t="s">
        <v>709</v>
      </c>
      <c r="D113" s="11" t="s">
        <v>531</v>
      </c>
      <c r="E113" s="11" t="b">
        <v>1</v>
      </c>
      <c r="F113" s="11" t="s">
        <v>544</v>
      </c>
      <c r="G113" s="11" t="s">
        <v>495</v>
      </c>
      <c r="I113" s="11">
        <v>5.0</v>
      </c>
      <c r="J113" s="11" t="b">
        <v>1</v>
      </c>
    </row>
    <row r="114">
      <c r="A114" s="11" t="s">
        <v>429</v>
      </c>
      <c r="B114" s="11" t="s">
        <v>710</v>
      </c>
      <c r="C114" s="11" t="s">
        <v>711</v>
      </c>
      <c r="D114" s="11" t="s">
        <v>531</v>
      </c>
      <c r="E114" s="11" t="b">
        <v>1</v>
      </c>
      <c r="F114" s="11" t="s">
        <v>544</v>
      </c>
      <c r="G114" s="11" t="s">
        <v>495</v>
      </c>
      <c r="I114" s="11">
        <v>6.0</v>
      </c>
      <c r="J114" s="11" t="b">
        <v>1</v>
      </c>
    </row>
    <row r="115">
      <c r="A115" s="11" t="s">
        <v>429</v>
      </c>
      <c r="B115" s="11" t="s">
        <v>712</v>
      </c>
      <c r="C115" s="11" t="s">
        <v>713</v>
      </c>
      <c r="D115" s="11" t="s">
        <v>477</v>
      </c>
      <c r="E115" s="11" t="b">
        <v>1</v>
      </c>
      <c r="F115" s="11" t="s">
        <v>544</v>
      </c>
      <c r="G115" s="11" t="s">
        <v>490</v>
      </c>
      <c r="H115" s="11" t="s">
        <v>714</v>
      </c>
      <c r="I115" s="11">
        <v>7.0</v>
      </c>
      <c r="J115" s="11" t="b">
        <v>1</v>
      </c>
    </row>
    <row r="116">
      <c r="A116" s="11" t="s">
        <v>429</v>
      </c>
      <c r="B116" s="11" t="s">
        <v>715</v>
      </c>
      <c r="C116" s="11" t="s">
        <v>716</v>
      </c>
      <c r="D116" s="11" t="s">
        <v>494</v>
      </c>
      <c r="E116" s="11" t="b">
        <v>0</v>
      </c>
      <c r="F116" s="11" t="s">
        <v>544</v>
      </c>
      <c r="G116" s="11" t="s">
        <v>495</v>
      </c>
      <c r="I116" s="11">
        <v>8.0</v>
      </c>
      <c r="J116" s="11" t="b">
        <v>1</v>
      </c>
    </row>
    <row r="117">
      <c r="A117" s="11" t="s">
        <v>429</v>
      </c>
      <c r="B117" s="11" t="s">
        <v>717</v>
      </c>
      <c r="C117" s="11" t="s">
        <v>718</v>
      </c>
      <c r="D117" s="11" t="s">
        <v>515</v>
      </c>
      <c r="E117" s="11" t="b">
        <v>0</v>
      </c>
      <c r="F117" s="11" t="s">
        <v>544</v>
      </c>
      <c r="G117" s="11" t="s">
        <v>399</v>
      </c>
      <c r="H117" s="11" t="s">
        <v>262</v>
      </c>
      <c r="I117" s="11">
        <v>9.0</v>
      </c>
      <c r="J117" s="11" t="b">
        <v>1</v>
      </c>
    </row>
    <row r="118">
      <c r="A118" s="11" t="s">
        <v>429</v>
      </c>
      <c r="B118" s="11" t="s">
        <v>719</v>
      </c>
      <c r="C118" s="11" t="s">
        <v>720</v>
      </c>
      <c r="D118" s="11" t="s">
        <v>504</v>
      </c>
      <c r="E118" s="11" t="b">
        <v>0</v>
      </c>
      <c r="F118" s="11" t="s">
        <v>75</v>
      </c>
      <c r="G118" s="11" t="s">
        <v>75</v>
      </c>
      <c r="I118" s="11">
        <v>10.0</v>
      </c>
      <c r="J118" s="11" t="b">
        <v>1</v>
      </c>
    </row>
    <row r="119">
      <c r="A119" s="11" t="s">
        <v>438</v>
      </c>
      <c r="B119" s="11" t="s">
        <v>721</v>
      </c>
      <c r="C119" s="11" t="s">
        <v>722</v>
      </c>
      <c r="D119" s="11" t="s">
        <v>470</v>
      </c>
      <c r="E119" s="11" t="b">
        <v>1</v>
      </c>
      <c r="F119" s="11" t="s">
        <v>75</v>
      </c>
      <c r="G119" s="11" t="s">
        <v>75</v>
      </c>
      <c r="I119" s="11">
        <v>1.0</v>
      </c>
      <c r="J119" s="11" t="b">
        <v>1</v>
      </c>
    </row>
    <row r="120">
      <c r="A120" s="11" t="s">
        <v>438</v>
      </c>
      <c r="B120" s="11" t="s">
        <v>121</v>
      </c>
      <c r="C120" s="11" t="s">
        <v>723</v>
      </c>
      <c r="D120" s="11" t="s">
        <v>216</v>
      </c>
      <c r="E120" s="11" t="b">
        <v>1</v>
      </c>
      <c r="F120" s="11" t="s">
        <v>75</v>
      </c>
      <c r="G120" s="11" t="s">
        <v>75</v>
      </c>
      <c r="I120" s="11">
        <v>2.0</v>
      </c>
      <c r="J120" s="11" t="b">
        <v>1</v>
      </c>
    </row>
    <row r="121">
      <c r="A121" s="11" t="s">
        <v>438</v>
      </c>
      <c r="B121" s="11" t="s">
        <v>122</v>
      </c>
      <c r="C121" s="11" t="s">
        <v>724</v>
      </c>
      <c r="D121" s="11" t="s">
        <v>216</v>
      </c>
      <c r="E121" s="11" t="b">
        <v>1</v>
      </c>
      <c r="F121" s="11" t="s">
        <v>75</v>
      </c>
      <c r="G121" s="11" t="s">
        <v>75</v>
      </c>
      <c r="I121" s="11">
        <v>3.0</v>
      </c>
      <c r="J121" s="11" t="b">
        <v>1</v>
      </c>
    </row>
    <row r="122">
      <c r="A122" s="11" t="s">
        <v>438</v>
      </c>
      <c r="B122" s="11" t="s">
        <v>725</v>
      </c>
      <c r="C122" s="11" t="s">
        <v>726</v>
      </c>
      <c r="D122" s="11" t="s">
        <v>216</v>
      </c>
      <c r="E122" s="11" t="b">
        <v>1</v>
      </c>
      <c r="F122" s="11" t="s">
        <v>75</v>
      </c>
      <c r="G122" s="11" t="s">
        <v>727</v>
      </c>
      <c r="I122" s="11">
        <v>4.0</v>
      </c>
      <c r="J122" s="11" t="b">
        <v>1</v>
      </c>
    </row>
    <row r="123">
      <c r="A123" s="11" t="s">
        <v>438</v>
      </c>
      <c r="B123" s="11" t="s">
        <v>728</v>
      </c>
      <c r="C123" s="11" t="s">
        <v>729</v>
      </c>
      <c r="D123" s="11" t="s">
        <v>477</v>
      </c>
      <c r="E123" s="11" t="b">
        <v>1</v>
      </c>
      <c r="F123" s="11" t="s">
        <v>75</v>
      </c>
      <c r="G123" s="11" t="s">
        <v>617</v>
      </c>
      <c r="H123" s="11" t="s">
        <v>140</v>
      </c>
      <c r="I123" s="11">
        <v>5.0</v>
      </c>
      <c r="J123" s="11" t="b">
        <v>1</v>
      </c>
    </row>
    <row r="124">
      <c r="A124" s="11" t="s">
        <v>438</v>
      </c>
      <c r="B124" s="11" t="s">
        <v>730</v>
      </c>
      <c r="C124" s="11" t="s">
        <v>731</v>
      </c>
      <c r="D124" s="11" t="s">
        <v>477</v>
      </c>
      <c r="E124" s="11" t="b">
        <v>1</v>
      </c>
      <c r="F124" s="11" t="s">
        <v>75</v>
      </c>
      <c r="G124" s="11" t="s">
        <v>490</v>
      </c>
      <c r="H124" s="11" t="s">
        <v>732</v>
      </c>
      <c r="I124" s="11">
        <v>6.0</v>
      </c>
      <c r="J124" s="11" t="b">
        <v>1</v>
      </c>
    </row>
    <row r="125">
      <c r="A125" s="11" t="s">
        <v>438</v>
      </c>
      <c r="B125" s="11" t="s">
        <v>733</v>
      </c>
      <c r="C125" s="11" t="s">
        <v>734</v>
      </c>
      <c r="D125" s="11" t="s">
        <v>531</v>
      </c>
      <c r="E125" s="11" t="b">
        <v>0</v>
      </c>
      <c r="F125" s="11" t="s">
        <v>735</v>
      </c>
      <c r="G125" s="11" t="s">
        <v>495</v>
      </c>
      <c r="I125" s="11">
        <v>7.0</v>
      </c>
      <c r="J125" s="11" t="b">
        <v>1</v>
      </c>
    </row>
    <row r="126">
      <c r="A126" s="11" t="s">
        <v>438</v>
      </c>
      <c r="B126" s="11" t="s">
        <v>736</v>
      </c>
      <c r="C126" s="11" t="s">
        <v>737</v>
      </c>
      <c r="D126" s="11" t="s">
        <v>504</v>
      </c>
      <c r="E126" s="11" t="b">
        <v>1</v>
      </c>
      <c r="F126" s="11" t="s">
        <v>75</v>
      </c>
      <c r="G126" s="11" t="s">
        <v>75</v>
      </c>
      <c r="I126" s="11">
        <v>8.0</v>
      </c>
      <c r="J126" s="11" t="b">
        <v>1</v>
      </c>
    </row>
    <row r="127">
      <c r="A127" s="11" t="s">
        <v>444</v>
      </c>
      <c r="B127" s="11" t="s">
        <v>117</v>
      </c>
      <c r="C127" s="11" t="s">
        <v>738</v>
      </c>
      <c r="D127" s="11" t="s">
        <v>470</v>
      </c>
      <c r="E127" s="11" t="b">
        <v>1</v>
      </c>
      <c r="F127" s="11" t="s">
        <v>75</v>
      </c>
      <c r="G127" s="11" t="s">
        <v>75</v>
      </c>
      <c r="I127" s="11">
        <v>1.0</v>
      </c>
      <c r="J127" s="11" t="b">
        <v>1</v>
      </c>
    </row>
    <row r="128">
      <c r="A128" s="11" t="s">
        <v>444</v>
      </c>
      <c r="B128" s="11" t="s">
        <v>118</v>
      </c>
      <c r="C128" s="11" t="s">
        <v>739</v>
      </c>
      <c r="D128" s="11" t="s">
        <v>504</v>
      </c>
      <c r="E128" s="11" t="b">
        <v>1</v>
      </c>
      <c r="F128" s="11" t="s">
        <v>75</v>
      </c>
      <c r="G128" s="11" t="s">
        <v>75</v>
      </c>
      <c r="I128" s="11">
        <v>2.0</v>
      </c>
      <c r="J128" s="11" t="b">
        <v>1</v>
      </c>
    </row>
    <row r="129">
      <c r="A129" s="11" t="s">
        <v>444</v>
      </c>
      <c r="B129" s="11" t="s">
        <v>126</v>
      </c>
      <c r="C129" s="11" t="s">
        <v>740</v>
      </c>
      <c r="D129" s="11" t="s">
        <v>216</v>
      </c>
      <c r="E129" s="11" t="b">
        <v>0</v>
      </c>
      <c r="F129" s="11" t="s">
        <v>75</v>
      </c>
      <c r="G129" s="11" t="s">
        <v>617</v>
      </c>
      <c r="I129" s="11">
        <v>3.0</v>
      </c>
      <c r="J129" s="11" t="b">
        <v>1</v>
      </c>
    </row>
    <row r="130">
      <c r="A130" s="11" t="s">
        <v>444</v>
      </c>
      <c r="B130" s="11" t="s">
        <v>127</v>
      </c>
      <c r="C130" s="11" t="s">
        <v>741</v>
      </c>
      <c r="D130" s="11" t="s">
        <v>216</v>
      </c>
      <c r="E130" s="11" t="b">
        <v>0</v>
      </c>
      <c r="F130" s="11" t="s">
        <v>75</v>
      </c>
      <c r="G130" s="11" t="s">
        <v>617</v>
      </c>
      <c r="I130" s="11">
        <v>4.0</v>
      </c>
      <c r="J130" s="11" t="b">
        <v>1</v>
      </c>
    </row>
    <row r="131">
      <c r="A131" s="11" t="s">
        <v>444</v>
      </c>
      <c r="B131" s="11" t="s">
        <v>120</v>
      </c>
      <c r="C131" s="11" t="s">
        <v>742</v>
      </c>
      <c r="D131" s="11" t="s">
        <v>216</v>
      </c>
      <c r="E131" s="11" t="b">
        <v>1</v>
      </c>
      <c r="F131" s="11" t="s">
        <v>75</v>
      </c>
      <c r="G131" s="11" t="s">
        <v>743</v>
      </c>
      <c r="I131" s="11">
        <v>5.0</v>
      </c>
      <c r="J131" s="11" t="b">
        <v>1</v>
      </c>
    </row>
    <row r="132">
      <c r="A132" s="11" t="s">
        <v>444</v>
      </c>
      <c r="B132" s="11" t="s">
        <v>121</v>
      </c>
      <c r="C132" s="11" t="s">
        <v>723</v>
      </c>
      <c r="D132" s="11" t="s">
        <v>216</v>
      </c>
      <c r="E132" s="11" t="b">
        <v>0</v>
      </c>
      <c r="F132" s="11" t="s">
        <v>75</v>
      </c>
      <c r="G132" s="11" t="s">
        <v>75</v>
      </c>
      <c r="I132" s="11">
        <v>6.0</v>
      </c>
      <c r="J132" s="11" t="b">
        <v>1</v>
      </c>
    </row>
    <row r="133">
      <c r="A133" s="11" t="s">
        <v>444</v>
      </c>
      <c r="B133" s="11" t="s">
        <v>122</v>
      </c>
      <c r="C133" s="11" t="s">
        <v>724</v>
      </c>
      <c r="D133" s="11" t="s">
        <v>216</v>
      </c>
      <c r="E133" s="11" t="b">
        <v>0</v>
      </c>
      <c r="F133" s="11" t="s">
        <v>75</v>
      </c>
      <c r="G133" s="11" t="s">
        <v>75</v>
      </c>
      <c r="I133" s="11">
        <v>7.0</v>
      </c>
      <c r="J133" s="11" t="b">
        <v>1</v>
      </c>
    </row>
    <row r="134">
      <c r="A134" s="11" t="s">
        <v>444</v>
      </c>
      <c r="B134" s="11" t="s">
        <v>123</v>
      </c>
      <c r="C134" s="11" t="s">
        <v>744</v>
      </c>
      <c r="D134" s="11" t="s">
        <v>531</v>
      </c>
      <c r="E134" s="11" t="b">
        <v>0</v>
      </c>
      <c r="F134" s="11" t="s">
        <v>75</v>
      </c>
      <c r="G134" s="11" t="s">
        <v>75</v>
      </c>
      <c r="I134" s="11">
        <v>8.0</v>
      </c>
      <c r="J134" s="11" t="b">
        <v>1</v>
      </c>
    </row>
    <row r="135">
      <c r="A135" s="11" t="s">
        <v>444</v>
      </c>
      <c r="B135" s="11" t="s">
        <v>124</v>
      </c>
      <c r="C135" s="11" t="s">
        <v>745</v>
      </c>
      <c r="D135" s="11" t="s">
        <v>531</v>
      </c>
      <c r="E135" s="11" t="b">
        <v>0</v>
      </c>
      <c r="F135" s="11" t="s">
        <v>75</v>
      </c>
      <c r="G135" s="11" t="s">
        <v>75</v>
      </c>
      <c r="I135" s="11">
        <v>9.0</v>
      </c>
      <c r="J135" s="11" t="b">
        <v>1</v>
      </c>
    </row>
    <row r="136">
      <c r="A136" s="11" t="s">
        <v>444</v>
      </c>
      <c r="B136" s="11" t="s">
        <v>125</v>
      </c>
      <c r="C136" s="11" t="s">
        <v>746</v>
      </c>
      <c r="D136" s="11" t="s">
        <v>477</v>
      </c>
      <c r="E136" s="11" t="b">
        <v>1</v>
      </c>
      <c r="F136" s="11" t="s">
        <v>75</v>
      </c>
      <c r="G136" s="11" t="s">
        <v>490</v>
      </c>
      <c r="H136" s="11" t="s">
        <v>747</v>
      </c>
      <c r="I136" s="11">
        <v>10.0</v>
      </c>
      <c r="J136" s="11" t="b">
        <v>1</v>
      </c>
    </row>
    <row r="137">
      <c r="A137" s="11" t="s">
        <v>451</v>
      </c>
      <c r="B137" s="11" t="s">
        <v>748</v>
      </c>
      <c r="C137" s="11" t="s">
        <v>749</v>
      </c>
      <c r="D137" s="11" t="s">
        <v>261</v>
      </c>
      <c r="E137" s="11" t="b">
        <v>1</v>
      </c>
      <c r="F137" s="11" t="s">
        <v>75</v>
      </c>
      <c r="G137" s="11" t="s">
        <v>382</v>
      </c>
      <c r="I137" s="11">
        <v>1.0</v>
      </c>
      <c r="J137" s="11" t="b">
        <v>1</v>
      </c>
    </row>
    <row r="138">
      <c r="A138" s="11" t="s">
        <v>451</v>
      </c>
      <c r="B138" s="11" t="s">
        <v>750</v>
      </c>
      <c r="C138" s="11" t="s">
        <v>751</v>
      </c>
      <c r="D138" s="11" t="s">
        <v>261</v>
      </c>
      <c r="E138" s="11" t="b">
        <v>1</v>
      </c>
      <c r="F138" s="11" t="s">
        <v>75</v>
      </c>
      <c r="G138" s="11" t="s">
        <v>391</v>
      </c>
      <c r="I138" s="11">
        <v>2.0</v>
      </c>
      <c r="J138" s="11" t="b">
        <v>1</v>
      </c>
    </row>
    <row r="139">
      <c r="A139" s="11" t="s">
        <v>451</v>
      </c>
      <c r="B139" s="11" t="s">
        <v>752</v>
      </c>
      <c r="C139" s="11" t="s">
        <v>753</v>
      </c>
      <c r="D139" s="11" t="s">
        <v>261</v>
      </c>
      <c r="E139" s="11" t="b">
        <v>1</v>
      </c>
      <c r="F139" s="11" t="s">
        <v>75</v>
      </c>
      <c r="G139" s="11" t="s">
        <v>407</v>
      </c>
      <c r="I139" s="11">
        <v>3.0</v>
      </c>
      <c r="J139" s="11" t="b">
        <v>1</v>
      </c>
    </row>
    <row r="140">
      <c r="A140" s="11" t="s">
        <v>451</v>
      </c>
      <c r="B140" s="11" t="s">
        <v>754</v>
      </c>
      <c r="C140" s="11" t="s">
        <v>755</v>
      </c>
      <c r="D140" s="11" t="s">
        <v>261</v>
      </c>
      <c r="E140" s="11" t="b">
        <v>1</v>
      </c>
      <c r="F140" s="11" t="s">
        <v>75</v>
      </c>
      <c r="G140" s="11" t="s">
        <v>417</v>
      </c>
      <c r="I140" s="11">
        <v>4.0</v>
      </c>
      <c r="J140" s="11" t="b">
        <v>1</v>
      </c>
    </row>
    <row r="141">
      <c r="A141" s="11" t="s">
        <v>451</v>
      </c>
      <c r="B141" s="11" t="s">
        <v>756</v>
      </c>
      <c r="C141" s="11" t="s">
        <v>757</v>
      </c>
      <c r="D141" s="11" t="s">
        <v>261</v>
      </c>
      <c r="E141" s="11" t="b">
        <v>1</v>
      </c>
      <c r="F141" s="11" t="s">
        <v>75</v>
      </c>
      <c r="G141" s="11" t="s">
        <v>417</v>
      </c>
      <c r="I141" s="11">
        <v>5.0</v>
      </c>
      <c r="J141" s="11" t="b">
        <v>1</v>
      </c>
    </row>
    <row r="142">
      <c r="A142" s="11" t="s">
        <v>451</v>
      </c>
      <c r="B142" s="11" t="s">
        <v>758</v>
      </c>
      <c r="C142" s="11" t="s">
        <v>759</v>
      </c>
      <c r="D142" s="11" t="s">
        <v>261</v>
      </c>
      <c r="E142" s="11" t="b">
        <v>1</v>
      </c>
      <c r="F142" s="11" t="s">
        <v>75</v>
      </c>
      <c r="G142" s="11" t="s">
        <v>417</v>
      </c>
      <c r="I142" s="11">
        <v>6.0</v>
      </c>
      <c r="J142" s="11" t="b">
        <v>1</v>
      </c>
    </row>
    <row r="143">
      <c r="A143" s="11" t="s">
        <v>451</v>
      </c>
      <c r="B143" s="11" t="s">
        <v>760</v>
      </c>
      <c r="C143" s="11" t="s">
        <v>761</v>
      </c>
      <c r="D143" s="11" t="s">
        <v>261</v>
      </c>
      <c r="E143" s="11" t="b">
        <v>1</v>
      </c>
      <c r="F143" s="11" t="s">
        <v>75</v>
      </c>
      <c r="G143" s="11" t="s">
        <v>417</v>
      </c>
      <c r="I143" s="11">
        <v>7.0</v>
      </c>
      <c r="J143" s="11" t="b">
        <v>1</v>
      </c>
    </row>
    <row r="144">
      <c r="A144" s="11" t="s">
        <v>451</v>
      </c>
      <c r="B144" s="11" t="s">
        <v>762</v>
      </c>
      <c r="C144" s="11" t="s">
        <v>763</v>
      </c>
      <c r="D144" s="11" t="s">
        <v>261</v>
      </c>
      <c r="E144" s="11" t="b">
        <v>1</v>
      </c>
      <c r="F144" s="11" t="s">
        <v>75</v>
      </c>
      <c r="G144" s="11" t="s">
        <v>417</v>
      </c>
      <c r="I144" s="11">
        <v>8.0</v>
      </c>
      <c r="J144" s="11" t="b">
        <v>1</v>
      </c>
    </row>
    <row r="145">
      <c r="A145" s="11" t="s">
        <v>451</v>
      </c>
      <c r="B145" s="11" t="s">
        <v>764</v>
      </c>
      <c r="C145" s="11" t="s">
        <v>765</v>
      </c>
      <c r="D145" s="11" t="s">
        <v>261</v>
      </c>
      <c r="E145" s="11" t="b">
        <v>1</v>
      </c>
      <c r="F145" s="11" t="s">
        <v>75</v>
      </c>
      <c r="G145" s="11" t="s">
        <v>424</v>
      </c>
      <c r="I145" s="11">
        <v>9.0</v>
      </c>
      <c r="J145" s="11" t="b">
        <v>1</v>
      </c>
    </row>
    <row r="146">
      <c r="A146" s="11" t="s">
        <v>451</v>
      </c>
      <c r="B146" s="11" t="s">
        <v>766</v>
      </c>
      <c r="C146" s="11" t="s">
        <v>767</v>
      </c>
      <c r="D146" s="11" t="s">
        <v>261</v>
      </c>
      <c r="E146" s="11" t="b">
        <v>0</v>
      </c>
      <c r="F146" s="11" t="s">
        <v>75</v>
      </c>
      <c r="G146" s="11" t="s">
        <v>407</v>
      </c>
      <c r="I146" s="11">
        <v>10.0</v>
      </c>
      <c r="J146" s="11" t="b">
        <v>1</v>
      </c>
    </row>
    <row r="147">
      <c r="A147" s="11" t="s">
        <v>451</v>
      </c>
      <c r="B147" s="11" t="s">
        <v>768</v>
      </c>
      <c r="C147" s="11" t="s">
        <v>769</v>
      </c>
      <c r="D147" s="11" t="s">
        <v>504</v>
      </c>
      <c r="E147" s="11" t="b">
        <v>1</v>
      </c>
      <c r="F147" s="11" t="s">
        <v>75</v>
      </c>
      <c r="G147" s="11" t="s">
        <v>75</v>
      </c>
      <c r="I147" s="11">
        <v>11.0</v>
      </c>
      <c r="J147" s="11" t="b">
        <v>1</v>
      </c>
    </row>
    <row r="148">
      <c r="A148" s="11" t="s">
        <v>457</v>
      </c>
      <c r="B148" s="11" t="s">
        <v>770</v>
      </c>
      <c r="C148" s="11" t="s">
        <v>771</v>
      </c>
      <c r="D148" s="11" t="s">
        <v>470</v>
      </c>
      <c r="E148" s="11" t="b">
        <v>1</v>
      </c>
      <c r="F148" s="11" t="s">
        <v>75</v>
      </c>
      <c r="G148" s="11" t="s">
        <v>75</v>
      </c>
      <c r="I148" s="11">
        <v>1.0</v>
      </c>
      <c r="J148" s="11" t="b">
        <v>1</v>
      </c>
    </row>
    <row r="149">
      <c r="A149" s="11" t="s">
        <v>457</v>
      </c>
      <c r="B149" s="11" t="s">
        <v>772</v>
      </c>
      <c r="C149" s="11" t="s">
        <v>773</v>
      </c>
      <c r="D149" s="11" t="s">
        <v>477</v>
      </c>
      <c r="E149" s="11" t="b">
        <v>1</v>
      </c>
      <c r="F149" s="11" t="s">
        <v>75</v>
      </c>
      <c r="G149" s="11" t="s">
        <v>774</v>
      </c>
      <c r="H149" s="11" t="s">
        <v>775</v>
      </c>
      <c r="I149" s="11">
        <v>2.0</v>
      </c>
      <c r="J149" s="11" t="b">
        <v>1</v>
      </c>
    </row>
    <row r="150">
      <c r="A150" s="11" t="s">
        <v>457</v>
      </c>
      <c r="B150" s="11" t="s">
        <v>595</v>
      </c>
      <c r="C150" s="11" t="s">
        <v>776</v>
      </c>
      <c r="D150" s="11" t="s">
        <v>216</v>
      </c>
      <c r="E150" s="11" t="b">
        <v>1</v>
      </c>
      <c r="F150" s="11" t="s">
        <v>75</v>
      </c>
      <c r="G150" s="11" t="s">
        <v>75</v>
      </c>
      <c r="I150" s="11">
        <v>3.0</v>
      </c>
      <c r="J150" s="11" t="b">
        <v>1</v>
      </c>
    </row>
    <row r="151">
      <c r="A151" s="11" t="s">
        <v>457</v>
      </c>
      <c r="B151" s="11" t="s">
        <v>777</v>
      </c>
      <c r="C151" s="11" t="s">
        <v>778</v>
      </c>
      <c r="D151" s="11" t="s">
        <v>261</v>
      </c>
      <c r="E151" s="11" t="b">
        <v>1</v>
      </c>
      <c r="F151" s="11" t="s">
        <v>75</v>
      </c>
      <c r="G151" s="11" t="s">
        <v>75</v>
      </c>
      <c r="I151" s="11">
        <v>4.0</v>
      </c>
      <c r="J151" s="11" t="b">
        <v>1</v>
      </c>
    </row>
    <row r="152">
      <c r="A152" s="11" t="s">
        <v>457</v>
      </c>
      <c r="B152" s="11" t="s">
        <v>602</v>
      </c>
      <c r="C152" s="11" t="s">
        <v>779</v>
      </c>
      <c r="D152" s="11" t="s">
        <v>216</v>
      </c>
      <c r="E152" s="11" t="b">
        <v>1</v>
      </c>
      <c r="F152" s="11" t="s">
        <v>75</v>
      </c>
      <c r="G152" s="11" t="s">
        <v>485</v>
      </c>
      <c r="I152" s="11">
        <v>5.0</v>
      </c>
      <c r="J152" s="11" t="b">
        <v>1</v>
      </c>
    </row>
    <row r="153">
      <c r="A153" s="11" t="s">
        <v>457</v>
      </c>
      <c r="B153" s="11" t="s">
        <v>604</v>
      </c>
      <c r="C153" s="11" t="s">
        <v>780</v>
      </c>
      <c r="D153" s="11" t="s">
        <v>287</v>
      </c>
      <c r="E153" s="11" t="b">
        <v>1</v>
      </c>
      <c r="F153" s="11" t="s">
        <v>75</v>
      </c>
      <c r="G153" s="11" t="s">
        <v>485</v>
      </c>
      <c r="I153" s="11">
        <v>6.0</v>
      </c>
      <c r="J153" s="11" t="b">
        <v>1</v>
      </c>
    </row>
    <row r="154">
      <c r="A154" s="11" t="s">
        <v>457</v>
      </c>
      <c r="B154" s="11" t="s">
        <v>781</v>
      </c>
      <c r="C154" s="11" t="s">
        <v>782</v>
      </c>
      <c r="D154" s="11" t="s">
        <v>477</v>
      </c>
      <c r="E154" s="11" t="b">
        <v>1</v>
      </c>
      <c r="F154" s="11" t="s">
        <v>75</v>
      </c>
      <c r="G154" s="11" t="s">
        <v>490</v>
      </c>
      <c r="H154" s="11" t="s">
        <v>783</v>
      </c>
      <c r="I154" s="11">
        <v>7.0</v>
      </c>
      <c r="J154" s="11" t="b">
        <v>1</v>
      </c>
    </row>
    <row r="155">
      <c r="A155" s="11" t="s">
        <v>457</v>
      </c>
      <c r="B155" s="11" t="s">
        <v>784</v>
      </c>
      <c r="C155" s="11" t="s">
        <v>785</v>
      </c>
      <c r="D155" s="11" t="s">
        <v>477</v>
      </c>
      <c r="E155" s="11" t="b">
        <v>1</v>
      </c>
      <c r="F155" s="11" t="s">
        <v>75</v>
      </c>
      <c r="G155" s="11" t="s">
        <v>617</v>
      </c>
      <c r="H155" s="11" t="s">
        <v>140</v>
      </c>
      <c r="I155" s="11">
        <v>8.0</v>
      </c>
      <c r="J155" s="11" t="b">
        <v>1</v>
      </c>
    </row>
    <row r="156">
      <c r="A156" s="11" t="s">
        <v>457</v>
      </c>
      <c r="B156" s="11" t="s">
        <v>786</v>
      </c>
      <c r="C156" s="11" t="s">
        <v>787</v>
      </c>
      <c r="D156" s="11" t="s">
        <v>504</v>
      </c>
      <c r="E156" s="11" t="b">
        <v>1</v>
      </c>
      <c r="F156" s="11" t="s">
        <v>75</v>
      </c>
      <c r="G156" s="11" t="s">
        <v>75</v>
      </c>
      <c r="I156" s="11">
        <v>9.0</v>
      </c>
      <c r="J156" s="11" t="b">
        <v>1</v>
      </c>
    </row>
    <row r="157">
      <c r="A157" s="11" t="s">
        <v>457</v>
      </c>
      <c r="B157" s="11" t="s">
        <v>578</v>
      </c>
      <c r="C157" s="11" t="s">
        <v>673</v>
      </c>
      <c r="D157" s="11" t="s">
        <v>477</v>
      </c>
      <c r="E157" s="11" t="b">
        <v>0</v>
      </c>
      <c r="F157" s="11" t="s">
        <v>75</v>
      </c>
      <c r="G157" s="11" t="s">
        <v>617</v>
      </c>
      <c r="H157" s="11" t="s">
        <v>140</v>
      </c>
      <c r="I157" s="11">
        <v>10.0</v>
      </c>
      <c r="J157" s="11" t="b">
        <v>1</v>
      </c>
    </row>
    <row r="158">
      <c r="A158" s="11" t="s">
        <v>457</v>
      </c>
      <c r="B158" s="11" t="s">
        <v>581</v>
      </c>
      <c r="C158" s="11" t="s">
        <v>674</v>
      </c>
      <c r="D158" s="11" t="s">
        <v>504</v>
      </c>
      <c r="E158" s="11" t="b">
        <v>0</v>
      </c>
      <c r="F158" s="11" t="s">
        <v>75</v>
      </c>
      <c r="G158" s="11" t="s">
        <v>75</v>
      </c>
      <c r="I158" s="11">
        <v>11.0</v>
      </c>
      <c r="J158" s="11" t="b"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7.63"/>
  </cols>
  <sheetData>
    <row r="1">
      <c r="A1" s="14" t="s">
        <v>127</v>
      </c>
      <c r="B1" s="14" t="s">
        <v>788</v>
      </c>
      <c r="C1" s="14" t="s">
        <v>789</v>
      </c>
      <c r="D1" s="14" t="s">
        <v>790</v>
      </c>
      <c r="E1" s="14" t="s">
        <v>210</v>
      </c>
      <c r="F1" s="14" t="s">
        <v>369</v>
      </c>
    </row>
    <row r="2">
      <c r="A2" s="5" t="s">
        <v>791</v>
      </c>
      <c r="B2" s="5" t="s">
        <v>792</v>
      </c>
      <c r="C2" s="5">
        <v>100.0</v>
      </c>
      <c r="D2" s="5" t="b">
        <v>0</v>
      </c>
      <c r="E2" s="5" t="s">
        <v>793</v>
      </c>
      <c r="F2" s="5" t="b">
        <v>1</v>
      </c>
    </row>
    <row r="3">
      <c r="A3" s="5" t="s">
        <v>375</v>
      </c>
      <c r="B3" s="5" t="s">
        <v>794</v>
      </c>
      <c r="C3" s="5">
        <v>90.0</v>
      </c>
      <c r="D3" s="5" t="b">
        <v>0</v>
      </c>
      <c r="E3" s="5" t="s">
        <v>795</v>
      </c>
      <c r="F3" s="5" t="b">
        <v>1</v>
      </c>
    </row>
    <row r="4">
      <c r="A4" s="5" t="s">
        <v>796</v>
      </c>
      <c r="B4" s="5" t="s">
        <v>797</v>
      </c>
      <c r="C4" s="5">
        <v>80.0</v>
      </c>
      <c r="D4" s="5" t="b">
        <v>0</v>
      </c>
      <c r="E4" s="5" t="s">
        <v>798</v>
      </c>
      <c r="F4" s="5" t="b">
        <v>1</v>
      </c>
    </row>
    <row r="5">
      <c r="A5" s="5" t="s">
        <v>385</v>
      </c>
      <c r="B5" s="5" t="s">
        <v>499</v>
      </c>
      <c r="C5" s="5">
        <v>70.0</v>
      </c>
      <c r="D5" s="5" t="b">
        <v>0</v>
      </c>
      <c r="E5" s="5" t="s">
        <v>799</v>
      </c>
      <c r="F5" s="5" t="b">
        <v>1</v>
      </c>
    </row>
    <row r="6">
      <c r="A6" s="5" t="s">
        <v>410</v>
      </c>
      <c r="B6" s="5" t="s">
        <v>629</v>
      </c>
      <c r="C6" s="5">
        <v>60.0</v>
      </c>
      <c r="D6" s="5" t="b">
        <v>0</v>
      </c>
      <c r="E6" s="5" t="s">
        <v>800</v>
      </c>
      <c r="F6" s="5" t="b">
        <v>1</v>
      </c>
    </row>
    <row r="7">
      <c r="A7" s="5" t="s">
        <v>394</v>
      </c>
      <c r="B7" s="5" t="s">
        <v>801</v>
      </c>
      <c r="C7" s="5">
        <v>40.0</v>
      </c>
      <c r="D7" s="5" t="b">
        <v>1</v>
      </c>
      <c r="E7" s="5" t="s">
        <v>802</v>
      </c>
      <c r="F7" s="5" t="b">
        <v>1</v>
      </c>
    </row>
    <row r="8">
      <c r="A8" s="5" t="s">
        <v>580</v>
      </c>
      <c r="B8" s="5" t="s">
        <v>502</v>
      </c>
      <c r="C8" s="5">
        <v>50.0</v>
      </c>
      <c r="D8" s="5" t="b">
        <v>1</v>
      </c>
      <c r="E8" s="5" t="s">
        <v>803</v>
      </c>
      <c r="F8" s="5" t="b">
        <v>1</v>
      </c>
    </row>
    <row r="9">
      <c r="A9" s="5" t="s">
        <v>433</v>
      </c>
      <c r="B9" s="5" t="s">
        <v>705</v>
      </c>
      <c r="C9" s="5">
        <v>65.0</v>
      </c>
      <c r="D9" s="5" t="b">
        <v>0</v>
      </c>
      <c r="E9" s="5" t="s">
        <v>804</v>
      </c>
      <c r="F9" s="5" t="b">
        <v>1</v>
      </c>
    </row>
    <row r="10">
      <c r="A10" s="5" t="s">
        <v>805</v>
      </c>
      <c r="B10" s="5" t="s">
        <v>806</v>
      </c>
      <c r="C10" s="5">
        <v>75.0</v>
      </c>
      <c r="D10" s="5" t="b">
        <v>0</v>
      </c>
      <c r="E10" s="5" t="s">
        <v>807</v>
      </c>
      <c r="F10" s="5" t="b">
        <v>1</v>
      </c>
    </row>
    <row r="11">
      <c r="A11" s="5" t="s">
        <v>808</v>
      </c>
      <c r="B11" s="5" t="s">
        <v>809</v>
      </c>
      <c r="C11" s="5">
        <v>55.0</v>
      </c>
      <c r="D11" s="5" t="b">
        <v>0</v>
      </c>
      <c r="E11" s="5" t="s">
        <v>810</v>
      </c>
      <c r="F11" s="5" t="b">
        <v>1</v>
      </c>
    </row>
    <row r="12">
      <c r="A12" s="5" t="s">
        <v>811</v>
      </c>
      <c r="B12" s="5" t="s">
        <v>812</v>
      </c>
      <c r="C12" s="5">
        <v>45.0</v>
      </c>
      <c r="D12" s="5" t="b">
        <v>0</v>
      </c>
      <c r="E12" s="5" t="s">
        <v>813</v>
      </c>
      <c r="F12" s="5" t="b">
        <v>1</v>
      </c>
    </row>
    <row r="13">
      <c r="A13" s="9" t="s">
        <v>814</v>
      </c>
      <c r="B13" s="9" t="s">
        <v>815</v>
      </c>
      <c r="C13" s="9">
        <v>68.0</v>
      </c>
      <c r="D13" s="9" t="b">
        <v>0</v>
      </c>
      <c r="E13" s="9" t="s">
        <v>816</v>
      </c>
      <c r="F13" s="9" t="b">
        <v>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7.63"/>
  </cols>
  <sheetData>
    <row r="1">
      <c r="A1" s="14" t="s">
        <v>817</v>
      </c>
      <c r="B1" s="14" t="s">
        <v>818</v>
      </c>
      <c r="C1" s="14" t="s">
        <v>819</v>
      </c>
      <c r="D1" s="14" t="s">
        <v>210</v>
      </c>
      <c r="E1" s="14" t="s">
        <v>369</v>
      </c>
    </row>
    <row r="2">
      <c r="A2" s="5" t="s">
        <v>820</v>
      </c>
      <c r="B2" s="5" t="s">
        <v>75</v>
      </c>
      <c r="C2" s="5" t="s">
        <v>821</v>
      </c>
      <c r="D2" s="5" t="s">
        <v>822</v>
      </c>
      <c r="E2" s="5" t="b">
        <v>1</v>
      </c>
    </row>
    <row r="3">
      <c r="A3" s="5" t="s">
        <v>823</v>
      </c>
      <c r="B3" s="5" t="s">
        <v>75</v>
      </c>
      <c r="C3" s="5" t="s">
        <v>824</v>
      </c>
      <c r="D3" s="5" t="s">
        <v>825</v>
      </c>
      <c r="E3" s="5" t="b">
        <v>1</v>
      </c>
    </row>
    <row r="4">
      <c r="A4" s="5" t="s">
        <v>826</v>
      </c>
      <c r="B4" s="5" t="s">
        <v>827</v>
      </c>
      <c r="C4" s="5" t="s">
        <v>821</v>
      </c>
      <c r="D4" s="5" t="s">
        <v>828</v>
      </c>
      <c r="E4" s="5" t="b">
        <v>1</v>
      </c>
    </row>
    <row r="5">
      <c r="A5" s="5" t="s">
        <v>829</v>
      </c>
      <c r="B5" s="5" t="s">
        <v>827</v>
      </c>
      <c r="C5" s="5" t="s">
        <v>154</v>
      </c>
      <c r="D5" s="5" t="s">
        <v>830</v>
      </c>
      <c r="E5" s="5" t="b">
        <v>1</v>
      </c>
    </row>
    <row r="6">
      <c r="A6" s="5" t="s">
        <v>831</v>
      </c>
      <c r="B6" s="5" t="s">
        <v>827</v>
      </c>
      <c r="C6" s="5" t="s">
        <v>143</v>
      </c>
      <c r="D6" s="5" t="s">
        <v>832</v>
      </c>
      <c r="E6" s="5" t="b">
        <v>1</v>
      </c>
    </row>
    <row r="7">
      <c r="A7" s="5" t="s">
        <v>833</v>
      </c>
      <c r="B7" s="5" t="s">
        <v>827</v>
      </c>
      <c r="C7" s="5" t="s">
        <v>834</v>
      </c>
      <c r="D7" s="5" t="s">
        <v>835</v>
      </c>
      <c r="E7" s="5" t="b">
        <v>1</v>
      </c>
    </row>
    <row r="8">
      <c r="A8" s="5" t="s">
        <v>836</v>
      </c>
      <c r="B8" s="5" t="s">
        <v>827</v>
      </c>
      <c r="C8" s="5" t="s">
        <v>837</v>
      </c>
      <c r="D8" s="5" t="s">
        <v>838</v>
      </c>
      <c r="E8" s="5" t="b">
        <v>1</v>
      </c>
    </row>
    <row r="9">
      <c r="A9" s="5" t="s">
        <v>839</v>
      </c>
      <c r="B9" s="5" t="s">
        <v>180</v>
      </c>
      <c r="C9" s="5" t="s">
        <v>821</v>
      </c>
      <c r="D9" s="5" t="s">
        <v>840</v>
      </c>
      <c r="E9" s="5" t="b">
        <v>1</v>
      </c>
    </row>
    <row r="10">
      <c r="A10" s="5" t="s">
        <v>841</v>
      </c>
      <c r="B10" s="5" t="s">
        <v>180</v>
      </c>
      <c r="C10" s="5" t="s">
        <v>154</v>
      </c>
      <c r="D10" s="5" t="s">
        <v>842</v>
      </c>
      <c r="E10" s="5" t="b">
        <v>1</v>
      </c>
    </row>
    <row r="11">
      <c r="A11" s="5" t="s">
        <v>843</v>
      </c>
      <c r="B11" s="5" t="s">
        <v>180</v>
      </c>
      <c r="C11" s="5" t="s">
        <v>143</v>
      </c>
      <c r="D11" s="5" t="s">
        <v>844</v>
      </c>
      <c r="E11" s="5" t="b">
        <v>1</v>
      </c>
    </row>
    <row r="12">
      <c r="A12" s="5" t="s">
        <v>845</v>
      </c>
      <c r="B12" s="5" t="s">
        <v>180</v>
      </c>
      <c r="C12" s="5" t="s">
        <v>846</v>
      </c>
      <c r="D12" s="5" t="s">
        <v>847</v>
      </c>
      <c r="E12" s="5" t="b">
        <v>1</v>
      </c>
    </row>
    <row r="13">
      <c r="A13" s="5" t="s">
        <v>848</v>
      </c>
      <c r="B13" s="5" t="s">
        <v>180</v>
      </c>
      <c r="C13" s="5" t="s">
        <v>849</v>
      </c>
      <c r="D13" s="5" t="s">
        <v>850</v>
      </c>
      <c r="E13" s="5" t="b">
        <v>1</v>
      </c>
    </row>
    <row r="14">
      <c r="A14" s="5" t="s">
        <v>851</v>
      </c>
      <c r="B14" s="5" t="s">
        <v>852</v>
      </c>
      <c r="C14" s="5" t="s">
        <v>821</v>
      </c>
      <c r="D14" s="5" t="s">
        <v>853</v>
      </c>
      <c r="E14" s="5" t="b">
        <v>1</v>
      </c>
    </row>
    <row r="15">
      <c r="A15" s="5" t="s">
        <v>854</v>
      </c>
      <c r="B15" s="5" t="s">
        <v>852</v>
      </c>
      <c r="C15" s="5" t="s">
        <v>855</v>
      </c>
      <c r="D15" s="5" t="s">
        <v>856</v>
      </c>
      <c r="E15" s="5" t="b">
        <v>1</v>
      </c>
    </row>
    <row r="16">
      <c r="A16" s="5" t="s">
        <v>857</v>
      </c>
      <c r="B16" s="5" t="s">
        <v>852</v>
      </c>
      <c r="C16" s="5" t="s">
        <v>858</v>
      </c>
      <c r="D16" s="5" t="s">
        <v>859</v>
      </c>
      <c r="E16" s="5" t="b">
        <v>1</v>
      </c>
    </row>
    <row r="17">
      <c r="A17" s="5" t="s">
        <v>860</v>
      </c>
      <c r="B17" s="5" t="s">
        <v>852</v>
      </c>
      <c r="C17" s="5" t="s">
        <v>849</v>
      </c>
      <c r="D17" s="5" t="s">
        <v>861</v>
      </c>
      <c r="E17" s="5" t="b">
        <v>1</v>
      </c>
    </row>
    <row r="18">
      <c r="A18" s="5" t="s">
        <v>862</v>
      </c>
      <c r="B18" s="5" t="s">
        <v>262</v>
      </c>
      <c r="C18" s="5" t="s">
        <v>821</v>
      </c>
      <c r="D18" s="5" t="s">
        <v>863</v>
      </c>
      <c r="E18" s="5" t="b">
        <v>1</v>
      </c>
    </row>
    <row r="19">
      <c r="A19" s="5" t="s">
        <v>864</v>
      </c>
      <c r="B19" s="5" t="s">
        <v>262</v>
      </c>
      <c r="C19" s="5" t="s">
        <v>597</v>
      </c>
      <c r="D19" s="5" t="s">
        <v>865</v>
      </c>
      <c r="E19" s="5" t="b">
        <v>1</v>
      </c>
    </row>
    <row r="20">
      <c r="A20" s="5" t="s">
        <v>866</v>
      </c>
      <c r="B20" s="5" t="s">
        <v>262</v>
      </c>
      <c r="C20" s="5" t="s">
        <v>867</v>
      </c>
      <c r="D20" s="5" t="s">
        <v>868</v>
      </c>
      <c r="E20" s="5" t="b">
        <v>1</v>
      </c>
    </row>
    <row r="21">
      <c r="A21" s="5" t="s">
        <v>869</v>
      </c>
      <c r="B21" s="5" t="s">
        <v>262</v>
      </c>
      <c r="C21" s="5" t="s">
        <v>870</v>
      </c>
      <c r="D21" s="5" t="s">
        <v>871</v>
      </c>
      <c r="E21" s="5" t="b">
        <v>1</v>
      </c>
    </row>
    <row r="22">
      <c r="A22" s="5" t="s">
        <v>872</v>
      </c>
      <c r="B22" s="5" t="s">
        <v>406</v>
      </c>
      <c r="C22" s="5" t="s">
        <v>821</v>
      </c>
      <c r="D22" s="5" t="s">
        <v>873</v>
      </c>
      <c r="E22" s="5" t="b">
        <v>1</v>
      </c>
    </row>
    <row r="23">
      <c r="A23" s="5" t="s">
        <v>874</v>
      </c>
      <c r="B23" s="5" t="s">
        <v>406</v>
      </c>
      <c r="C23" s="5" t="s">
        <v>855</v>
      </c>
      <c r="D23" s="5" t="s">
        <v>875</v>
      </c>
      <c r="E23" s="5" t="b">
        <v>1</v>
      </c>
    </row>
    <row r="24">
      <c r="A24" s="5" t="s">
        <v>876</v>
      </c>
      <c r="B24" s="5" t="s">
        <v>406</v>
      </c>
      <c r="C24" s="5" t="s">
        <v>858</v>
      </c>
      <c r="D24" s="5" t="s">
        <v>877</v>
      </c>
      <c r="E24" s="5" t="b">
        <v>1</v>
      </c>
    </row>
    <row r="25">
      <c r="A25" s="5" t="s">
        <v>878</v>
      </c>
      <c r="B25" s="5" t="s">
        <v>406</v>
      </c>
      <c r="C25" s="5" t="s">
        <v>879</v>
      </c>
      <c r="D25" s="5" t="s">
        <v>880</v>
      </c>
      <c r="E25" s="5" t="b">
        <v>1</v>
      </c>
    </row>
    <row r="26">
      <c r="A26" s="5" t="s">
        <v>881</v>
      </c>
      <c r="B26" s="5" t="s">
        <v>416</v>
      </c>
      <c r="C26" s="5" t="s">
        <v>821</v>
      </c>
      <c r="D26" s="5" t="s">
        <v>882</v>
      </c>
      <c r="E26" s="5" t="b">
        <v>1</v>
      </c>
    </row>
    <row r="27">
      <c r="A27" s="5" t="s">
        <v>883</v>
      </c>
      <c r="B27" s="5" t="s">
        <v>416</v>
      </c>
      <c r="C27" s="5" t="s">
        <v>154</v>
      </c>
      <c r="D27" s="5" t="s">
        <v>884</v>
      </c>
      <c r="E27" s="5" t="b">
        <v>1</v>
      </c>
    </row>
    <row r="28">
      <c r="A28" s="5" t="s">
        <v>885</v>
      </c>
      <c r="B28" s="5" t="s">
        <v>416</v>
      </c>
      <c r="C28" s="5" t="s">
        <v>143</v>
      </c>
      <c r="D28" s="5" t="s">
        <v>886</v>
      </c>
      <c r="E28" s="5" t="b">
        <v>1</v>
      </c>
    </row>
    <row r="29">
      <c r="A29" s="5" t="s">
        <v>887</v>
      </c>
      <c r="B29" s="5" t="s">
        <v>416</v>
      </c>
      <c r="C29" s="5" t="s">
        <v>849</v>
      </c>
      <c r="D29" s="5" t="s">
        <v>888</v>
      </c>
      <c r="E29" s="5" t="b">
        <v>1</v>
      </c>
    </row>
    <row r="30">
      <c r="A30" s="5" t="s">
        <v>889</v>
      </c>
      <c r="B30" s="5" t="s">
        <v>416</v>
      </c>
      <c r="C30" s="5" t="s">
        <v>890</v>
      </c>
      <c r="D30" s="5" t="s">
        <v>891</v>
      </c>
      <c r="E30" s="5" t="b">
        <v>1</v>
      </c>
    </row>
    <row r="31">
      <c r="A31" s="5" t="s">
        <v>892</v>
      </c>
      <c r="B31" s="5" t="s">
        <v>893</v>
      </c>
      <c r="C31" s="5" t="s">
        <v>821</v>
      </c>
      <c r="D31" s="5" t="s">
        <v>894</v>
      </c>
      <c r="E31" s="5" t="b">
        <v>1</v>
      </c>
    </row>
    <row r="32">
      <c r="A32" s="5" t="s">
        <v>895</v>
      </c>
      <c r="B32" s="5" t="s">
        <v>893</v>
      </c>
      <c r="C32" s="5" t="s">
        <v>154</v>
      </c>
      <c r="D32" s="5" t="s">
        <v>896</v>
      </c>
      <c r="E32" s="5" t="b">
        <v>1</v>
      </c>
    </row>
    <row r="33">
      <c r="A33" s="5" t="s">
        <v>897</v>
      </c>
      <c r="B33" s="5" t="s">
        <v>893</v>
      </c>
      <c r="C33" s="5" t="s">
        <v>143</v>
      </c>
      <c r="D33" s="5" t="s">
        <v>898</v>
      </c>
      <c r="E33" s="5" t="b">
        <v>1</v>
      </c>
    </row>
    <row r="34">
      <c r="A34" s="5" t="s">
        <v>899</v>
      </c>
      <c r="B34" s="5" t="s">
        <v>893</v>
      </c>
      <c r="C34" s="5" t="s">
        <v>858</v>
      </c>
      <c r="D34" s="5" t="s">
        <v>900</v>
      </c>
      <c r="E34" s="5" t="b">
        <v>1</v>
      </c>
    </row>
    <row r="35">
      <c r="A35" s="5" t="s">
        <v>901</v>
      </c>
      <c r="B35" s="5" t="s">
        <v>893</v>
      </c>
      <c r="C35" s="5" t="s">
        <v>902</v>
      </c>
      <c r="D35" s="5" t="s">
        <v>903</v>
      </c>
      <c r="E35" s="5" t="b">
        <v>1</v>
      </c>
    </row>
    <row r="36">
      <c r="A36" s="5" t="s">
        <v>904</v>
      </c>
      <c r="B36" s="5" t="s">
        <v>309</v>
      </c>
      <c r="C36" s="5" t="s">
        <v>821</v>
      </c>
      <c r="D36" s="5" t="s">
        <v>905</v>
      </c>
      <c r="E36" s="5" t="b">
        <v>1</v>
      </c>
    </row>
    <row r="37">
      <c r="A37" s="5" t="s">
        <v>906</v>
      </c>
      <c r="B37" s="5" t="s">
        <v>309</v>
      </c>
      <c r="C37" s="5" t="s">
        <v>907</v>
      </c>
      <c r="D37" s="5" t="s">
        <v>908</v>
      </c>
      <c r="E37" s="5" t="b">
        <v>1</v>
      </c>
    </row>
    <row r="38">
      <c r="A38" s="5" t="s">
        <v>909</v>
      </c>
      <c r="B38" s="5" t="s">
        <v>309</v>
      </c>
      <c r="C38" s="5" t="s">
        <v>849</v>
      </c>
      <c r="D38" s="5" t="s">
        <v>910</v>
      </c>
      <c r="E38" s="5" t="b">
        <v>1</v>
      </c>
    </row>
    <row r="39">
      <c r="A39" s="5" t="s">
        <v>911</v>
      </c>
      <c r="B39" s="5" t="s">
        <v>912</v>
      </c>
      <c r="C39" s="5" t="s">
        <v>913</v>
      </c>
      <c r="D39" s="5" t="s">
        <v>914</v>
      </c>
      <c r="E39" s="5" t="b">
        <v>1</v>
      </c>
    </row>
    <row r="40">
      <c r="A40" s="5" t="s">
        <v>915</v>
      </c>
      <c r="B40" s="5" t="s">
        <v>912</v>
      </c>
      <c r="C40" s="5" t="s">
        <v>916</v>
      </c>
      <c r="D40" s="5" t="s">
        <v>917</v>
      </c>
      <c r="E40" s="5" t="b">
        <v>1</v>
      </c>
    </row>
    <row r="41">
      <c r="A41" s="5" t="s">
        <v>918</v>
      </c>
      <c r="B41" s="5" t="s">
        <v>912</v>
      </c>
      <c r="C41" s="5" t="s">
        <v>919</v>
      </c>
      <c r="D41" s="5" t="s">
        <v>920</v>
      </c>
      <c r="E41" s="5" t="b">
        <v>1</v>
      </c>
    </row>
    <row r="42">
      <c r="A42" s="9" t="s">
        <v>921</v>
      </c>
      <c r="B42" s="9" t="s">
        <v>922</v>
      </c>
      <c r="C42" s="9" t="s">
        <v>821</v>
      </c>
      <c r="D42" s="9" t="s">
        <v>923</v>
      </c>
      <c r="E42" s="9" t="b">
        <v>1</v>
      </c>
    </row>
    <row r="43">
      <c r="A43" s="9" t="s">
        <v>924</v>
      </c>
      <c r="B43" s="9" t="s">
        <v>922</v>
      </c>
      <c r="C43" s="9" t="s">
        <v>154</v>
      </c>
      <c r="D43" s="9" t="s">
        <v>925</v>
      </c>
      <c r="E43" s="9" t="b">
        <v>1</v>
      </c>
    </row>
    <row r="44">
      <c r="A44" s="9" t="s">
        <v>926</v>
      </c>
      <c r="B44" s="9" t="s">
        <v>922</v>
      </c>
      <c r="C44" s="9" t="s">
        <v>927</v>
      </c>
      <c r="D44" s="9" t="s">
        <v>928</v>
      </c>
      <c r="E44" s="9" t="b">
        <v>1</v>
      </c>
    </row>
    <row r="45">
      <c r="A45" s="9" t="s">
        <v>929</v>
      </c>
      <c r="B45" s="9" t="s">
        <v>922</v>
      </c>
      <c r="C45" s="9" t="s">
        <v>930</v>
      </c>
      <c r="D45" s="9" t="s">
        <v>931</v>
      </c>
      <c r="E45" s="9" t="b">
        <v>1</v>
      </c>
    </row>
    <row r="46">
      <c r="A46" s="9" t="s">
        <v>932</v>
      </c>
      <c r="B46" s="9" t="s">
        <v>381</v>
      </c>
      <c r="C46" s="9" t="s">
        <v>821</v>
      </c>
      <c r="D46" s="9" t="s">
        <v>933</v>
      </c>
      <c r="E46" s="9" t="b">
        <v>1</v>
      </c>
    </row>
    <row r="47">
      <c r="A47" s="9" t="s">
        <v>934</v>
      </c>
      <c r="B47" s="9" t="s">
        <v>381</v>
      </c>
      <c r="C47" s="9" t="s">
        <v>879</v>
      </c>
      <c r="D47" s="9" t="s">
        <v>935</v>
      </c>
      <c r="E47" s="9" t="b">
        <v>1</v>
      </c>
    </row>
    <row r="48">
      <c r="A48" s="9" t="s">
        <v>936</v>
      </c>
      <c r="B48" s="9" t="s">
        <v>381</v>
      </c>
      <c r="C48" s="9" t="s">
        <v>855</v>
      </c>
      <c r="D48" s="9" t="s">
        <v>937</v>
      </c>
      <c r="E48" s="9" t="b">
        <v>1</v>
      </c>
    </row>
    <row r="49">
      <c r="A49" s="9" t="s">
        <v>938</v>
      </c>
      <c r="B49" s="9" t="s">
        <v>381</v>
      </c>
      <c r="C49" s="9" t="s">
        <v>858</v>
      </c>
      <c r="D49" s="9" t="s">
        <v>939</v>
      </c>
      <c r="E49" s="9" t="b">
        <v>1</v>
      </c>
    </row>
    <row r="50">
      <c r="A50" s="9" t="s">
        <v>940</v>
      </c>
      <c r="B50" s="9" t="s">
        <v>381</v>
      </c>
      <c r="C50" s="9" t="s">
        <v>849</v>
      </c>
      <c r="D50" s="9" t="s">
        <v>941</v>
      </c>
      <c r="E50" s="9" t="b">
        <v>1</v>
      </c>
    </row>
    <row r="51">
      <c r="A51" s="9" t="s">
        <v>942</v>
      </c>
      <c r="B51" s="9" t="s">
        <v>381</v>
      </c>
      <c r="C51" s="9" t="s">
        <v>837</v>
      </c>
      <c r="D51" s="9" t="s">
        <v>943</v>
      </c>
      <c r="E51" s="9" t="b">
        <v>1</v>
      </c>
    </row>
    <row r="52">
      <c r="A52" s="9" t="s">
        <v>944</v>
      </c>
      <c r="B52" s="9" t="s">
        <v>945</v>
      </c>
      <c r="C52" s="9" t="s">
        <v>821</v>
      </c>
      <c r="D52" s="9" t="s">
        <v>946</v>
      </c>
      <c r="E52" s="9" t="b">
        <v>1</v>
      </c>
    </row>
    <row r="53">
      <c r="A53" s="9" t="s">
        <v>947</v>
      </c>
      <c r="B53" s="9" t="s">
        <v>945</v>
      </c>
      <c r="C53" s="9" t="s">
        <v>948</v>
      </c>
      <c r="D53" s="9" t="s">
        <v>949</v>
      </c>
      <c r="E53" s="9" t="b">
        <v>1</v>
      </c>
    </row>
    <row r="54">
      <c r="A54" s="9" t="s">
        <v>950</v>
      </c>
      <c r="B54" s="9" t="s">
        <v>945</v>
      </c>
      <c r="C54" s="9" t="s">
        <v>849</v>
      </c>
      <c r="D54" s="9" t="s">
        <v>951</v>
      </c>
      <c r="E54" s="9" t="b">
        <v>1</v>
      </c>
    </row>
    <row r="55">
      <c r="A55" s="9" t="s">
        <v>952</v>
      </c>
      <c r="B55" s="9" t="s">
        <v>953</v>
      </c>
      <c r="C55" s="9" t="s">
        <v>821</v>
      </c>
      <c r="D55" s="9" t="s">
        <v>954</v>
      </c>
      <c r="E55" s="9" t="b">
        <v>1</v>
      </c>
    </row>
    <row r="56">
      <c r="A56" s="9" t="s">
        <v>955</v>
      </c>
      <c r="B56" s="9" t="s">
        <v>953</v>
      </c>
      <c r="C56" s="9" t="s">
        <v>154</v>
      </c>
      <c r="D56" s="9" t="s">
        <v>956</v>
      </c>
      <c r="E56" s="9" t="b">
        <v>1</v>
      </c>
    </row>
    <row r="57">
      <c r="A57" s="9" t="s">
        <v>957</v>
      </c>
      <c r="B57" s="9" t="s">
        <v>953</v>
      </c>
      <c r="C57" s="9" t="s">
        <v>143</v>
      </c>
      <c r="D57" s="9" t="s">
        <v>958</v>
      </c>
      <c r="E57" s="9" t="b">
        <v>1</v>
      </c>
    </row>
    <row r="58">
      <c r="A58" s="9" t="s">
        <v>959</v>
      </c>
      <c r="B58" s="9" t="s">
        <v>953</v>
      </c>
      <c r="C58" s="9" t="s">
        <v>927</v>
      </c>
      <c r="D58" s="9" t="s">
        <v>960</v>
      </c>
      <c r="E58" s="9" t="b">
        <v>1</v>
      </c>
    </row>
    <row r="59">
      <c r="A59" s="9" t="s">
        <v>961</v>
      </c>
      <c r="B59" s="9" t="s">
        <v>953</v>
      </c>
      <c r="C59" s="9" t="s">
        <v>834</v>
      </c>
      <c r="D59" s="9" t="s">
        <v>962</v>
      </c>
      <c r="E59" s="9" t="b">
        <v>1</v>
      </c>
    </row>
    <row r="60">
      <c r="A60" s="9" t="s">
        <v>963</v>
      </c>
      <c r="B60" s="9" t="s">
        <v>953</v>
      </c>
      <c r="C60" s="9" t="s">
        <v>964</v>
      </c>
      <c r="D60" s="9" t="s">
        <v>965</v>
      </c>
      <c r="E60" s="9" t="b">
        <v>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7.63"/>
  </cols>
  <sheetData>
    <row r="1">
      <c r="A1" s="14" t="s">
        <v>127</v>
      </c>
      <c r="B1" s="14" t="s">
        <v>817</v>
      </c>
      <c r="C1" s="14" t="s">
        <v>966</v>
      </c>
      <c r="D1" s="14" t="s">
        <v>967</v>
      </c>
      <c r="E1" s="14" t="s">
        <v>349</v>
      </c>
    </row>
    <row r="2">
      <c r="A2" s="5" t="s">
        <v>791</v>
      </c>
      <c r="B2" s="5" t="s">
        <v>968</v>
      </c>
      <c r="C2" s="5" t="b">
        <v>1</v>
      </c>
      <c r="D2" s="5" t="s">
        <v>969</v>
      </c>
      <c r="E2" s="5" t="s">
        <v>970</v>
      </c>
    </row>
    <row r="3">
      <c r="A3" s="5" t="s">
        <v>791</v>
      </c>
      <c r="B3" s="5" t="s">
        <v>971</v>
      </c>
      <c r="C3" s="5" t="b">
        <v>1</v>
      </c>
      <c r="D3" s="5" t="s">
        <v>969</v>
      </c>
      <c r="E3" s="5" t="s">
        <v>970</v>
      </c>
    </row>
    <row r="4">
      <c r="A4" s="5" t="s">
        <v>791</v>
      </c>
      <c r="B4" s="5" t="s">
        <v>972</v>
      </c>
      <c r="C4" s="5" t="b">
        <v>1</v>
      </c>
      <c r="D4" s="5" t="s">
        <v>969</v>
      </c>
      <c r="E4" s="5" t="s">
        <v>970</v>
      </c>
    </row>
    <row r="5">
      <c r="A5" s="5" t="s">
        <v>791</v>
      </c>
      <c r="B5" s="5" t="s">
        <v>973</v>
      </c>
      <c r="C5" s="5" t="b">
        <v>1</v>
      </c>
      <c r="D5" s="5" t="s">
        <v>969</v>
      </c>
      <c r="E5" s="5" t="s">
        <v>970</v>
      </c>
    </row>
    <row r="6">
      <c r="A6" s="5" t="s">
        <v>791</v>
      </c>
      <c r="B6" s="5" t="s">
        <v>974</v>
      </c>
      <c r="C6" s="5" t="b">
        <v>1</v>
      </c>
      <c r="D6" s="5" t="s">
        <v>969</v>
      </c>
      <c r="E6" s="5" t="s">
        <v>970</v>
      </c>
    </row>
    <row r="7">
      <c r="A7" s="5" t="s">
        <v>791</v>
      </c>
      <c r="B7" s="5" t="s">
        <v>975</v>
      </c>
      <c r="C7" s="5" t="b">
        <v>1</v>
      </c>
      <c r="D7" s="5" t="s">
        <v>969</v>
      </c>
      <c r="E7" s="5" t="s">
        <v>970</v>
      </c>
    </row>
    <row r="8">
      <c r="A8" s="5" t="s">
        <v>791</v>
      </c>
      <c r="B8" s="5" t="s">
        <v>976</v>
      </c>
      <c r="C8" s="5" t="b">
        <v>1</v>
      </c>
      <c r="D8" s="5" t="s">
        <v>969</v>
      </c>
      <c r="E8" s="5" t="s">
        <v>970</v>
      </c>
    </row>
    <row r="9">
      <c r="A9" s="5" t="s">
        <v>791</v>
      </c>
      <c r="B9" s="5" t="s">
        <v>977</v>
      </c>
      <c r="C9" s="5" t="b">
        <v>1</v>
      </c>
      <c r="D9" s="5" t="s">
        <v>969</v>
      </c>
      <c r="E9" s="5" t="s">
        <v>970</v>
      </c>
    </row>
    <row r="10">
      <c r="A10" s="5" t="s">
        <v>791</v>
      </c>
      <c r="B10" s="5" t="s">
        <v>978</v>
      </c>
      <c r="C10" s="5" t="b">
        <v>1</v>
      </c>
      <c r="D10" s="5" t="s">
        <v>969</v>
      </c>
      <c r="E10" s="5" t="s">
        <v>970</v>
      </c>
    </row>
    <row r="11">
      <c r="A11" s="5" t="s">
        <v>791</v>
      </c>
      <c r="B11" s="5" t="s">
        <v>979</v>
      </c>
      <c r="C11" s="5" t="b">
        <v>1</v>
      </c>
      <c r="D11" s="5" t="s">
        <v>969</v>
      </c>
      <c r="E11" s="5" t="s">
        <v>970</v>
      </c>
    </row>
    <row r="12">
      <c r="A12" s="5" t="s">
        <v>375</v>
      </c>
      <c r="B12" s="5" t="s">
        <v>971</v>
      </c>
      <c r="C12" s="5" t="b">
        <v>1</v>
      </c>
      <c r="D12" s="5" t="s">
        <v>969</v>
      </c>
      <c r="E12" s="5" t="s">
        <v>970</v>
      </c>
    </row>
    <row r="13">
      <c r="A13" s="5" t="s">
        <v>375</v>
      </c>
      <c r="B13" s="5" t="s">
        <v>972</v>
      </c>
      <c r="C13" s="5" t="b">
        <v>1</v>
      </c>
      <c r="D13" s="5" t="s">
        <v>969</v>
      </c>
      <c r="E13" s="5" t="s">
        <v>970</v>
      </c>
    </row>
    <row r="14">
      <c r="A14" s="5" t="s">
        <v>375</v>
      </c>
      <c r="B14" s="5" t="s">
        <v>851</v>
      </c>
      <c r="C14" s="5" t="b">
        <v>1</v>
      </c>
      <c r="D14" s="5" t="s">
        <v>969</v>
      </c>
      <c r="E14" s="5" t="s">
        <v>970</v>
      </c>
    </row>
    <row r="15">
      <c r="A15" s="5" t="s">
        <v>375</v>
      </c>
      <c r="B15" s="5" t="s">
        <v>862</v>
      </c>
      <c r="C15" s="5" t="b">
        <v>1</v>
      </c>
      <c r="D15" s="5" t="s">
        <v>969</v>
      </c>
      <c r="E15" s="5" t="s">
        <v>970</v>
      </c>
    </row>
    <row r="16">
      <c r="A16" s="5" t="s">
        <v>375</v>
      </c>
      <c r="B16" s="5" t="s">
        <v>872</v>
      </c>
      <c r="C16" s="5" t="b">
        <v>1</v>
      </c>
      <c r="D16" s="5" t="s">
        <v>969</v>
      </c>
      <c r="E16" s="5" t="s">
        <v>970</v>
      </c>
    </row>
    <row r="17">
      <c r="A17" s="5" t="s">
        <v>375</v>
      </c>
      <c r="B17" s="5" t="s">
        <v>881</v>
      </c>
      <c r="C17" s="5" t="b">
        <v>1</v>
      </c>
      <c r="D17" s="5" t="s">
        <v>969</v>
      </c>
      <c r="E17" s="5" t="s">
        <v>970</v>
      </c>
    </row>
    <row r="18">
      <c r="A18" s="5" t="s">
        <v>375</v>
      </c>
      <c r="B18" s="5" t="s">
        <v>892</v>
      </c>
      <c r="C18" s="5" t="b">
        <v>1</v>
      </c>
      <c r="D18" s="5" t="s">
        <v>969</v>
      </c>
      <c r="E18" s="5" t="s">
        <v>970</v>
      </c>
    </row>
    <row r="19">
      <c r="A19" s="5" t="s">
        <v>375</v>
      </c>
      <c r="B19" s="5" t="s">
        <v>978</v>
      </c>
      <c r="C19" s="5" t="b">
        <v>1</v>
      </c>
      <c r="D19" s="5" t="s">
        <v>969</v>
      </c>
      <c r="E19" s="5" t="s">
        <v>970</v>
      </c>
    </row>
    <row r="20">
      <c r="A20" s="5" t="s">
        <v>375</v>
      </c>
      <c r="B20" s="5" t="s">
        <v>979</v>
      </c>
      <c r="C20" s="5" t="b">
        <v>1</v>
      </c>
      <c r="D20" s="5" t="s">
        <v>969</v>
      </c>
      <c r="E20" s="5" t="s">
        <v>970</v>
      </c>
    </row>
    <row r="21">
      <c r="A21" s="5" t="s">
        <v>796</v>
      </c>
      <c r="B21" s="5" t="s">
        <v>972</v>
      </c>
      <c r="C21" s="5" t="b">
        <v>1</v>
      </c>
      <c r="D21" s="5" t="s">
        <v>969</v>
      </c>
      <c r="E21" s="5" t="s">
        <v>970</v>
      </c>
    </row>
    <row r="22">
      <c r="A22" s="5" t="s">
        <v>796</v>
      </c>
      <c r="B22" s="5" t="s">
        <v>851</v>
      </c>
      <c r="C22" s="5" t="b">
        <v>1</v>
      </c>
      <c r="D22" s="5" t="s">
        <v>969</v>
      </c>
      <c r="E22" s="5" t="s">
        <v>970</v>
      </c>
    </row>
    <row r="23">
      <c r="A23" s="5" t="s">
        <v>796</v>
      </c>
      <c r="B23" s="5" t="s">
        <v>862</v>
      </c>
      <c r="C23" s="5" t="b">
        <v>1</v>
      </c>
      <c r="D23" s="5" t="s">
        <v>969</v>
      </c>
      <c r="E23" s="5" t="s">
        <v>970</v>
      </c>
    </row>
    <row r="24">
      <c r="A24" s="5" t="s">
        <v>796</v>
      </c>
      <c r="B24" s="5" t="s">
        <v>878</v>
      </c>
      <c r="C24" s="5" t="b">
        <v>1</v>
      </c>
      <c r="D24" s="5" t="s">
        <v>969</v>
      </c>
      <c r="E24" s="5" t="s">
        <v>970</v>
      </c>
    </row>
    <row r="25">
      <c r="A25" s="5" t="s">
        <v>796</v>
      </c>
      <c r="B25" s="5" t="s">
        <v>887</v>
      </c>
      <c r="C25" s="5" t="b">
        <v>1</v>
      </c>
      <c r="D25" s="5" t="s">
        <v>969</v>
      </c>
      <c r="E25" s="5" t="s">
        <v>970</v>
      </c>
    </row>
    <row r="26">
      <c r="A26" s="5" t="s">
        <v>796</v>
      </c>
      <c r="B26" s="5" t="s">
        <v>892</v>
      </c>
      <c r="C26" s="5" t="b">
        <v>1</v>
      </c>
      <c r="D26" s="5" t="s">
        <v>969</v>
      </c>
      <c r="E26" s="5" t="s">
        <v>970</v>
      </c>
    </row>
    <row r="27">
      <c r="A27" s="5" t="s">
        <v>796</v>
      </c>
      <c r="B27" s="5" t="s">
        <v>978</v>
      </c>
      <c r="C27" s="5" t="b">
        <v>1</v>
      </c>
      <c r="D27" s="5" t="s">
        <v>969</v>
      </c>
      <c r="E27" s="5" t="s">
        <v>970</v>
      </c>
    </row>
    <row r="28">
      <c r="A28" s="5" t="s">
        <v>796</v>
      </c>
      <c r="B28" s="5" t="s">
        <v>979</v>
      </c>
      <c r="C28" s="5" t="b">
        <v>1</v>
      </c>
      <c r="D28" s="5" t="s">
        <v>969</v>
      </c>
      <c r="E28" s="5" t="s">
        <v>970</v>
      </c>
    </row>
    <row r="29">
      <c r="A29" s="5" t="s">
        <v>385</v>
      </c>
      <c r="B29" s="5" t="s">
        <v>839</v>
      </c>
      <c r="C29" s="5" t="b">
        <v>1</v>
      </c>
      <c r="D29" s="5" t="s">
        <v>969</v>
      </c>
      <c r="E29" s="5" t="s">
        <v>970</v>
      </c>
    </row>
    <row r="30">
      <c r="A30" s="5" t="s">
        <v>385</v>
      </c>
      <c r="B30" s="5" t="s">
        <v>851</v>
      </c>
      <c r="C30" s="5" t="b">
        <v>1</v>
      </c>
      <c r="D30" s="5" t="s">
        <v>969</v>
      </c>
      <c r="E30" s="5" t="s">
        <v>970</v>
      </c>
    </row>
    <row r="31">
      <c r="A31" s="5" t="s">
        <v>385</v>
      </c>
      <c r="B31" s="5" t="s">
        <v>862</v>
      </c>
      <c r="C31" s="5" t="b">
        <v>1</v>
      </c>
      <c r="D31" s="5" t="s">
        <v>969</v>
      </c>
      <c r="E31" s="5" t="s">
        <v>970</v>
      </c>
    </row>
    <row r="32">
      <c r="A32" s="5" t="s">
        <v>385</v>
      </c>
      <c r="B32" s="5" t="s">
        <v>866</v>
      </c>
      <c r="C32" s="5" t="b">
        <v>1</v>
      </c>
      <c r="D32" s="5" t="s">
        <v>969</v>
      </c>
      <c r="E32" s="5" t="s">
        <v>970</v>
      </c>
    </row>
    <row r="33">
      <c r="A33" s="5" t="s">
        <v>385</v>
      </c>
      <c r="B33" s="5" t="s">
        <v>975</v>
      </c>
      <c r="C33" s="5" t="b">
        <v>1</v>
      </c>
      <c r="D33" s="5" t="s">
        <v>969</v>
      </c>
      <c r="E33" s="5" t="s">
        <v>970</v>
      </c>
    </row>
    <row r="34">
      <c r="A34" s="5" t="s">
        <v>385</v>
      </c>
      <c r="B34" s="5" t="s">
        <v>976</v>
      </c>
      <c r="C34" s="5" t="b">
        <v>1</v>
      </c>
      <c r="D34" s="5" t="s">
        <v>969</v>
      </c>
      <c r="E34" s="5" t="s">
        <v>970</v>
      </c>
    </row>
    <row r="35">
      <c r="A35" s="5" t="s">
        <v>385</v>
      </c>
      <c r="B35" s="5" t="s">
        <v>892</v>
      </c>
      <c r="C35" s="5" t="b">
        <v>1</v>
      </c>
      <c r="D35" s="5" t="s">
        <v>969</v>
      </c>
      <c r="E35" s="5" t="s">
        <v>970</v>
      </c>
    </row>
    <row r="36">
      <c r="A36" s="5" t="s">
        <v>385</v>
      </c>
      <c r="B36" s="5" t="s">
        <v>904</v>
      </c>
      <c r="C36" s="5" t="b">
        <v>1</v>
      </c>
      <c r="D36" s="5" t="s">
        <v>969</v>
      </c>
      <c r="E36" s="5" t="s">
        <v>970</v>
      </c>
    </row>
    <row r="37">
      <c r="A37" s="5" t="s">
        <v>385</v>
      </c>
      <c r="B37" s="5" t="s">
        <v>906</v>
      </c>
      <c r="C37" s="5" t="b">
        <v>1</v>
      </c>
      <c r="D37" s="5" t="s">
        <v>969</v>
      </c>
      <c r="E37" s="5" t="s">
        <v>970</v>
      </c>
    </row>
    <row r="38">
      <c r="A38" s="5" t="s">
        <v>385</v>
      </c>
      <c r="B38" s="5" t="s">
        <v>918</v>
      </c>
      <c r="C38" s="5" t="b">
        <v>1</v>
      </c>
      <c r="D38" s="5" t="s">
        <v>969</v>
      </c>
      <c r="E38" s="5" t="s">
        <v>970</v>
      </c>
    </row>
    <row r="39">
      <c r="A39" s="5" t="s">
        <v>410</v>
      </c>
      <c r="B39" s="5" t="s">
        <v>839</v>
      </c>
      <c r="C39" s="5" t="b">
        <v>1</v>
      </c>
      <c r="D39" s="5" t="s">
        <v>969</v>
      </c>
      <c r="E39" s="5" t="s">
        <v>970</v>
      </c>
    </row>
    <row r="40">
      <c r="A40" s="5" t="s">
        <v>410</v>
      </c>
      <c r="B40" s="5" t="s">
        <v>851</v>
      </c>
      <c r="C40" s="5" t="b">
        <v>1</v>
      </c>
      <c r="D40" s="5" t="s">
        <v>969</v>
      </c>
      <c r="E40" s="5" t="s">
        <v>970</v>
      </c>
    </row>
    <row r="41">
      <c r="A41" s="5" t="s">
        <v>410</v>
      </c>
      <c r="B41" s="5" t="s">
        <v>862</v>
      </c>
      <c r="C41" s="5" t="b">
        <v>1</v>
      </c>
      <c r="D41" s="5" t="s">
        <v>969</v>
      </c>
      <c r="E41" s="5" t="s">
        <v>970</v>
      </c>
    </row>
    <row r="42">
      <c r="A42" s="5" t="s">
        <v>410</v>
      </c>
      <c r="B42" s="5" t="s">
        <v>866</v>
      </c>
      <c r="C42" s="5" t="b">
        <v>1</v>
      </c>
      <c r="D42" s="5" t="s">
        <v>969</v>
      </c>
      <c r="E42" s="5" t="s">
        <v>970</v>
      </c>
    </row>
    <row r="43">
      <c r="A43" s="5" t="s">
        <v>410</v>
      </c>
      <c r="B43" s="5" t="s">
        <v>872</v>
      </c>
      <c r="C43" s="5" t="b">
        <v>1</v>
      </c>
      <c r="D43" s="5" t="s">
        <v>969</v>
      </c>
      <c r="E43" s="5" t="s">
        <v>970</v>
      </c>
    </row>
    <row r="44">
      <c r="A44" s="5" t="s">
        <v>410</v>
      </c>
      <c r="B44" s="5" t="s">
        <v>874</v>
      </c>
      <c r="C44" s="5" t="b">
        <v>1</v>
      </c>
      <c r="D44" s="5" t="s">
        <v>969</v>
      </c>
      <c r="E44" s="5" t="s">
        <v>970</v>
      </c>
    </row>
    <row r="45">
      <c r="A45" s="5" t="s">
        <v>410</v>
      </c>
      <c r="B45" s="5" t="s">
        <v>876</v>
      </c>
      <c r="C45" s="5" t="b">
        <v>1</v>
      </c>
      <c r="D45" s="5" t="s">
        <v>969</v>
      </c>
      <c r="E45" s="5" t="s">
        <v>970</v>
      </c>
    </row>
    <row r="46">
      <c r="A46" s="5" t="s">
        <v>410</v>
      </c>
      <c r="B46" s="5" t="s">
        <v>881</v>
      </c>
      <c r="C46" s="5" t="b">
        <v>1</v>
      </c>
      <c r="D46" s="5" t="s">
        <v>969</v>
      </c>
      <c r="E46" s="5" t="s">
        <v>970</v>
      </c>
    </row>
    <row r="47">
      <c r="A47" s="5" t="s">
        <v>410</v>
      </c>
      <c r="B47" s="5" t="s">
        <v>883</v>
      </c>
      <c r="C47" s="5" t="b">
        <v>1</v>
      </c>
      <c r="D47" s="5" t="s">
        <v>969</v>
      </c>
      <c r="E47" s="5" t="s">
        <v>970</v>
      </c>
    </row>
    <row r="48">
      <c r="A48" s="5" t="s">
        <v>410</v>
      </c>
      <c r="B48" s="5" t="s">
        <v>885</v>
      </c>
      <c r="C48" s="5" t="b">
        <v>1</v>
      </c>
      <c r="D48" s="5" t="s">
        <v>969</v>
      </c>
      <c r="E48" s="5" t="s">
        <v>970</v>
      </c>
    </row>
    <row r="49">
      <c r="A49" s="5" t="s">
        <v>410</v>
      </c>
      <c r="B49" s="5" t="s">
        <v>904</v>
      </c>
      <c r="C49" s="5" t="b">
        <v>1</v>
      </c>
      <c r="D49" s="5" t="s">
        <v>969</v>
      </c>
      <c r="E49" s="5" t="s">
        <v>970</v>
      </c>
    </row>
    <row r="50">
      <c r="A50" s="5" t="s">
        <v>410</v>
      </c>
      <c r="B50" s="5" t="s">
        <v>918</v>
      </c>
      <c r="C50" s="5" t="b">
        <v>1</v>
      </c>
      <c r="D50" s="5" t="s">
        <v>969</v>
      </c>
      <c r="E50" s="5" t="s">
        <v>970</v>
      </c>
    </row>
    <row r="51">
      <c r="A51" s="5" t="s">
        <v>394</v>
      </c>
      <c r="B51" s="5" t="s">
        <v>839</v>
      </c>
      <c r="C51" s="5" t="b">
        <v>1</v>
      </c>
      <c r="D51" s="5" t="s">
        <v>980</v>
      </c>
      <c r="E51" s="5" t="s">
        <v>970</v>
      </c>
    </row>
    <row r="52">
      <c r="A52" s="5" t="s">
        <v>394</v>
      </c>
      <c r="B52" s="5" t="s">
        <v>851</v>
      </c>
      <c r="C52" s="5" t="b">
        <v>1</v>
      </c>
      <c r="D52" s="5" t="s">
        <v>980</v>
      </c>
      <c r="E52" s="5" t="s">
        <v>970</v>
      </c>
    </row>
    <row r="53">
      <c r="A53" s="5" t="s">
        <v>394</v>
      </c>
      <c r="B53" s="5" t="s">
        <v>854</v>
      </c>
      <c r="C53" s="5" t="b">
        <v>1</v>
      </c>
      <c r="D53" s="5" t="s">
        <v>980</v>
      </c>
      <c r="E53" s="5" t="s">
        <v>970</v>
      </c>
    </row>
    <row r="54">
      <c r="A54" s="5" t="s">
        <v>394</v>
      </c>
      <c r="B54" s="5" t="s">
        <v>857</v>
      </c>
      <c r="C54" s="5" t="b">
        <v>1</v>
      </c>
      <c r="D54" s="5" t="s">
        <v>980</v>
      </c>
      <c r="E54" s="5" t="s">
        <v>970</v>
      </c>
    </row>
    <row r="55">
      <c r="A55" s="5" t="s">
        <v>394</v>
      </c>
      <c r="B55" s="5" t="s">
        <v>862</v>
      </c>
      <c r="C55" s="5" t="b">
        <v>1</v>
      </c>
      <c r="D55" s="5" t="s">
        <v>980</v>
      </c>
      <c r="E55" s="5" t="s">
        <v>970</v>
      </c>
    </row>
    <row r="56">
      <c r="A56" s="5" t="s">
        <v>394</v>
      </c>
      <c r="B56" s="5" t="s">
        <v>864</v>
      </c>
      <c r="C56" s="5" t="b">
        <v>1</v>
      </c>
      <c r="D56" s="5" t="s">
        <v>980</v>
      </c>
      <c r="E56" s="5" t="s">
        <v>970</v>
      </c>
    </row>
    <row r="57">
      <c r="A57" s="5" t="s">
        <v>394</v>
      </c>
      <c r="B57" s="5" t="s">
        <v>881</v>
      </c>
      <c r="C57" s="5" t="b">
        <v>1</v>
      </c>
      <c r="D57" s="5" t="s">
        <v>980</v>
      </c>
      <c r="E57" s="5" t="s">
        <v>970</v>
      </c>
    </row>
    <row r="58">
      <c r="A58" s="5" t="s">
        <v>394</v>
      </c>
      <c r="B58" s="5" t="s">
        <v>892</v>
      </c>
      <c r="C58" s="5" t="b">
        <v>1</v>
      </c>
      <c r="D58" s="5" t="s">
        <v>980</v>
      </c>
      <c r="E58" s="5" t="s">
        <v>970</v>
      </c>
    </row>
    <row r="59">
      <c r="A59" s="5" t="s">
        <v>394</v>
      </c>
      <c r="B59" s="5" t="s">
        <v>895</v>
      </c>
      <c r="C59" s="5" t="b">
        <v>1</v>
      </c>
      <c r="D59" s="5" t="s">
        <v>980</v>
      </c>
      <c r="E59" s="5" t="s">
        <v>970</v>
      </c>
    </row>
    <row r="60">
      <c r="A60" s="5" t="s">
        <v>394</v>
      </c>
      <c r="B60" s="5" t="s">
        <v>897</v>
      </c>
      <c r="C60" s="5" t="b">
        <v>1</v>
      </c>
      <c r="D60" s="5" t="s">
        <v>980</v>
      </c>
      <c r="E60" s="5" t="s">
        <v>970</v>
      </c>
    </row>
    <row r="61">
      <c r="A61" s="5" t="s">
        <v>394</v>
      </c>
      <c r="B61" s="5" t="s">
        <v>899</v>
      </c>
      <c r="C61" s="5" t="b">
        <v>1</v>
      </c>
      <c r="D61" s="5" t="s">
        <v>980</v>
      </c>
      <c r="E61" s="5" t="s">
        <v>970</v>
      </c>
    </row>
    <row r="62">
      <c r="A62" s="5" t="s">
        <v>394</v>
      </c>
      <c r="B62" s="5" t="s">
        <v>915</v>
      </c>
      <c r="C62" s="5" t="b">
        <v>1</v>
      </c>
      <c r="D62" s="5" t="s">
        <v>980</v>
      </c>
      <c r="E62" s="5" t="s">
        <v>970</v>
      </c>
    </row>
    <row r="63">
      <c r="A63" s="5" t="s">
        <v>580</v>
      </c>
      <c r="B63" s="5" t="s">
        <v>839</v>
      </c>
      <c r="C63" s="5" t="b">
        <v>1</v>
      </c>
      <c r="D63" s="5" t="s">
        <v>980</v>
      </c>
      <c r="E63" s="5" t="s">
        <v>970</v>
      </c>
    </row>
    <row r="64">
      <c r="A64" s="5" t="s">
        <v>580</v>
      </c>
      <c r="B64" s="5" t="s">
        <v>851</v>
      </c>
      <c r="C64" s="5" t="b">
        <v>1</v>
      </c>
      <c r="D64" s="5" t="s">
        <v>980</v>
      </c>
      <c r="E64" s="5" t="s">
        <v>970</v>
      </c>
    </row>
    <row r="65">
      <c r="A65" s="5" t="s">
        <v>580</v>
      </c>
      <c r="B65" s="5" t="s">
        <v>860</v>
      </c>
      <c r="C65" s="5" t="b">
        <v>1</v>
      </c>
      <c r="D65" s="5" t="s">
        <v>980</v>
      </c>
      <c r="E65" s="5" t="s">
        <v>970</v>
      </c>
    </row>
    <row r="66">
      <c r="A66" s="5" t="s">
        <v>580</v>
      </c>
      <c r="B66" s="5" t="s">
        <v>862</v>
      </c>
      <c r="C66" s="5" t="b">
        <v>1</v>
      </c>
      <c r="D66" s="5" t="s">
        <v>980</v>
      </c>
      <c r="E66" s="5" t="s">
        <v>970</v>
      </c>
    </row>
    <row r="67">
      <c r="A67" s="5" t="s">
        <v>580</v>
      </c>
      <c r="B67" s="5" t="s">
        <v>881</v>
      </c>
      <c r="C67" s="5" t="b">
        <v>1</v>
      </c>
      <c r="D67" s="5" t="s">
        <v>980</v>
      </c>
      <c r="E67" s="5" t="s">
        <v>970</v>
      </c>
    </row>
    <row r="68">
      <c r="A68" s="5" t="s">
        <v>580</v>
      </c>
      <c r="B68" s="5" t="s">
        <v>892</v>
      </c>
      <c r="C68" s="5" t="b">
        <v>1</v>
      </c>
      <c r="D68" s="5" t="s">
        <v>980</v>
      </c>
      <c r="E68" s="5" t="s">
        <v>970</v>
      </c>
    </row>
    <row r="69">
      <c r="A69" s="5" t="s">
        <v>580</v>
      </c>
      <c r="B69" s="5" t="s">
        <v>899</v>
      </c>
      <c r="C69" s="5" t="b">
        <v>1</v>
      </c>
      <c r="D69" s="5" t="s">
        <v>980</v>
      </c>
      <c r="E69" s="5" t="s">
        <v>970</v>
      </c>
    </row>
    <row r="70">
      <c r="A70" s="5" t="s">
        <v>580</v>
      </c>
      <c r="B70" s="5" t="s">
        <v>904</v>
      </c>
      <c r="C70" s="5" t="b">
        <v>1</v>
      </c>
      <c r="D70" s="5" t="s">
        <v>980</v>
      </c>
      <c r="E70" s="5" t="s">
        <v>970</v>
      </c>
    </row>
    <row r="71">
      <c r="A71" s="5" t="s">
        <v>580</v>
      </c>
      <c r="B71" s="5" t="s">
        <v>915</v>
      </c>
      <c r="C71" s="5" t="b">
        <v>1</v>
      </c>
      <c r="D71" s="5" t="s">
        <v>980</v>
      </c>
      <c r="E71" s="5" t="s">
        <v>970</v>
      </c>
    </row>
    <row r="72">
      <c r="A72" s="5" t="s">
        <v>433</v>
      </c>
      <c r="B72" s="5" t="s">
        <v>839</v>
      </c>
      <c r="C72" s="5" t="b">
        <v>1</v>
      </c>
      <c r="D72" s="5" t="s">
        <v>969</v>
      </c>
      <c r="E72" s="5" t="s">
        <v>970</v>
      </c>
    </row>
    <row r="73">
      <c r="A73" s="5" t="s">
        <v>433</v>
      </c>
      <c r="B73" s="5" t="s">
        <v>862</v>
      </c>
      <c r="C73" s="5" t="b">
        <v>1</v>
      </c>
      <c r="D73" s="5" t="s">
        <v>969</v>
      </c>
      <c r="E73" s="5" t="s">
        <v>970</v>
      </c>
    </row>
    <row r="74">
      <c r="A74" s="5" t="s">
        <v>433</v>
      </c>
      <c r="B74" s="5" t="s">
        <v>881</v>
      </c>
      <c r="C74" s="5" t="b">
        <v>1</v>
      </c>
      <c r="D74" s="5" t="s">
        <v>969</v>
      </c>
      <c r="E74" s="5" t="s">
        <v>970</v>
      </c>
    </row>
    <row r="75">
      <c r="A75" s="5" t="s">
        <v>433</v>
      </c>
      <c r="B75" s="5" t="s">
        <v>889</v>
      </c>
      <c r="C75" s="5" t="b">
        <v>1</v>
      </c>
      <c r="D75" s="5" t="s">
        <v>969</v>
      </c>
      <c r="E75" s="5" t="s">
        <v>970</v>
      </c>
    </row>
    <row r="76">
      <c r="A76" s="5" t="s">
        <v>433</v>
      </c>
      <c r="B76" s="5" t="s">
        <v>892</v>
      </c>
      <c r="C76" s="5" t="b">
        <v>1</v>
      </c>
      <c r="D76" s="5" t="s">
        <v>969</v>
      </c>
      <c r="E76" s="5" t="s">
        <v>970</v>
      </c>
    </row>
    <row r="77">
      <c r="A77" s="5" t="s">
        <v>433</v>
      </c>
      <c r="B77" s="5" t="s">
        <v>901</v>
      </c>
      <c r="C77" s="5" t="b">
        <v>1</v>
      </c>
      <c r="D77" s="5" t="s">
        <v>969</v>
      </c>
      <c r="E77" s="5" t="s">
        <v>970</v>
      </c>
    </row>
    <row r="78">
      <c r="A78" s="5" t="s">
        <v>433</v>
      </c>
      <c r="B78" s="5" t="s">
        <v>904</v>
      </c>
      <c r="C78" s="5" t="b">
        <v>1</v>
      </c>
      <c r="D78" s="5" t="s">
        <v>969</v>
      </c>
      <c r="E78" s="5" t="s">
        <v>970</v>
      </c>
    </row>
    <row r="79">
      <c r="A79" s="5" t="s">
        <v>433</v>
      </c>
      <c r="B79" s="5" t="s">
        <v>918</v>
      </c>
      <c r="C79" s="5" t="b">
        <v>1</v>
      </c>
      <c r="D79" s="5" t="s">
        <v>969</v>
      </c>
      <c r="E79" s="5" t="s">
        <v>970</v>
      </c>
    </row>
    <row r="80">
      <c r="A80" s="5" t="s">
        <v>805</v>
      </c>
      <c r="B80" s="5" t="s">
        <v>839</v>
      </c>
      <c r="C80" s="5" t="b">
        <v>1</v>
      </c>
      <c r="D80" s="5" t="s">
        <v>969</v>
      </c>
      <c r="E80" s="5" t="s">
        <v>970</v>
      </c>
    </row>
    <row r="81">
      <c r="A81" s="5" t="s">
        <v>805</v>
      </c>
      <c r="B81" s="5" t="s">
        <v>881</v>
      </c>
      <c r="C81" s="5" t="b">
        <v>1</v>
      </c>
      <c r="D81" s="5" t="s">
        <v>969</v>
      </c>
      <c r="E81" s="5" t="s">
        <v>970</v>
      </c>
    </row>
    <row r="82">
      <c r="A82" s="5" t="s">
        <v>805</v>
      </c>
      <c r="B82" s="5" t="s">
        <v>892</v>
      </c>
      <c r="C82" s="5" t="b">
        <v>1</v>
      </c>
      <c r="D82" s="5" t="s">
        <v>969</v>
      </c>
      <c r="E82" s="5" t="s">
        <v>970</v>
      </c>
    </row>
    <row r="83">
      <c r="A83" s="5" t="s">
        <v>805</v>
      </c>
      <c r="B83" s="5" t="s">
        <v>904</v>
      </c>
      <c r="C83" s="5" t="b">
        <v>1</v>
      </c>
      <c r="D83" s="5" t="s">
        <v>969</v>
      </c>
      <c r="E83" s="5" t="s">
        <v>970</v>
      </c>
    </row>
    <row r="84">
      <c r="A84" s="5" t="s">
        <v>805</v>
      </c>
      <c r="B84" s="5" t="s">
        <v>909</v>
      </c>
      <c r="C84" s="5" t="b">
        <v>1</v>
      </c>
      <c r="D84" s="5" t="s">
        <v>969</v>
      </c>
      <c r="E84" s="5" t="s">
        <v>970</v>
      </c>
    </row>
    <row r="85">
      <c r="A85" s="5" t="s">
        <v>805</v>
      </c>
      <c r="B85" s="5" t="s">
        <v>911</v>
      </c>
      <c r="C85" s="5" t="b">
        <v>1</v>
      </c>
      <c r="D85" s="5" t="s">
        <v>969</v>
      </c>
      <c r="E85" s="5" t="s">
        <v>970</v>
      </c>
    </row>
    <row r="86">
      <c r="A86" s="5" t="s">
        <v>808</v>
      </c>
      <c r="B86" s="5" t="s">
        <v>839</v>
      </c>
      <c r="C86" s="5" t="b">
        <v>1</v>
      </c>
      <c r="D86" s="5" t="s">
        <v>969</v>
      </c>
      <c r="E86" s="5" t="s">
        <v>970</v>
      </c>
    </row>
    <row r="87">
      <c r="A87" s="5" t="s">
        <v>808</v>
      </c>
      <c r="B87" s="5" t="s">
        <v>851</v>
      </c>
      <c r="C87" s="5" t="b">
        <v>1</v>
      </c>
      <c r="D87" s="5" t="s">
        <v>969</v>
      </c>
      <c r="E87" s="5" t="s">
        <v>970</v>
      </c>
    </row>
    <row r="88">
      <c r="A88" s="5" t="s">
        <v>808</v>
      </c>
      <c r="B88" s="5" t="s">
        <v>862</v>
      </c>
      <c r="C88" s="5" t="b">
        <v>1</v>
      </c>
      <c r="D88" s="5" t="s">
        <v>969</v>
      </c>
      <c r="E88" s="5" t="s">
        <v>970</v>
      </c>
    </row>
    <row r="89">
      <c r="A89" s="5" t="s">
        <v>808</v>
      </c>
      <c r="B89" s="5" t="s">
        <v>872</v>
      </c>
      <c r="C89" s="5" t="b">
        <v>1</v>
      </c>
      <c r="D89" s="5" t="s">
        <v>969</v>
      </c>
      <c r="E89" s="5" t="s">
        <v>970</v>
      </c>
    </row>
    <row r="90">
      <c r="A90" s="5" t="s">
        <v>808</v>
      </c>
      <c r="B90" s="5" t="s">
        <v>881</v>
      </c>
      <c r="C90" s="5" t="b">
        <v>1</v>
      </c>
      <c r="D90" s="5" t="s">
        <v>969</v>
      </c>
      <c r="E90" s="5" t="s">
        <v>970</v>
      </c>
    </row>
    <row r="91">
      <c r="A91" s="5" t="s">
        <v>808</v>
      </c>
      <c r="B91" s="5" t="s">
        <v>892</v>
      </c>
      <c r="C91" s="5" t="b">
        <v>1</v>
      </c>
      <c r="D91" s="5" t="s">
        <v>969</v>
      </c>
      <c r="E91" s="5" t="s">
        <v>970</v>
      </c>
    </row>
    <row r="92">
      <c r="A92" s="5" t="s">
        <v>808</v>
      </c>
      <c r="B92" s="5" t="s">
        <v>904</v>
      </c>
      <c r="C92" s="5" t="b">
        <v>1</v>
      </c>
      <c r="D92" s="5" t="s">
        <v>969</v>
      </c>
      <c r="E92" s="5" t="s">
        <v>970</v>
      </c>
    </row>
    <row r="93">
      <c r="A93" s="5" t="s">
        <v>808</v>
      </c>
      <c r="B93" s="5" t="s">
        <v>906</v>
      </c>
      <c r="C93" s="5" t="b">
        <v>1</v>
      </c>
      <c r="D93" s="5" t="s">
        <v>969</v>
      </c>
      <c r="E93" s="5" t="s">
        <v>970</v>
      </c>
    </row>
    <row r="94">
      <c r="A94" s="5" t="s">
        <v>808</v>
      </c>
      <c r="B94" s="5" t="s">
        <v>911</v>
      </c>
      <c r="C94" s="5" t="b">
        <v>1</v>
      </c>
      <c r="D94" s="5" t="s">
        <v>969</v>
      </c>
      <c r="E94" s="5" t="s">
        <v>970</v>
      </c>
    </row>
    <row r="95">
      <c r="A95" s="5" t="s">
        <v>811</v>
      </c>
      <c r="B95" s="5" t="s">
        <v>839</v>
      </c>
      <c r="C95" s="5" t="b">
        <v>1</v>
      </c>
      <c r="D95" s="5" t="s">
        <v>969</v>
      </c>
      <c r="E95" s="5" t="s">
        <v>970</v>
      </c>
    </row>
    <row r="96">
      <c r="A96" s="5" t="s">
        <v>811</v>
      </c>
      <c r="B96" s="5" t="s">
        <v>841</v>
      </c>
      <c r="C96" s="5" t="b">
        <v>1</v>
      </c>
      <c r="D96" s="5" t="s">
        <v>969</v>
      </c>
      <c r="E96" s="5" t="s">
        <v>970</v>
      </c>
    </row>
    <row r="97">
      <c r="A97" s="5" t="s">
        <v>811</v>
      </c>
      <c r="B97" s="5" t="s">
        <v>843</v>
      </c>
      <c r="C97" s="5" t="b">
        <v>1</v>
      </c>
      <c r="D97" s="5" t="s">
        <v>969</v>
      </c>
      <c r="E97" s="5" t="s">
        <v>970</v>
      </c>
    </row>
    <row r="98">
      <c r="A98" s="5" t="s">
        <v>811</v>
      </c>
      <c r="B98" s="5" t="s">
        <v>904</v>
      </c>
      <c r="C98" s="5" t="b">
        <v>1</v>
      </c>
      <c r="D98" s="5" t="s">
        <v>969</v>
      </c>
      <c r="E98" s="5" t="s">
        <v>970</v>
      </c>
    </row>
    <row r="99">
      <c r="A99" s="5" t="s">
        <v>811</v>
      </c>
      <c r="B99" s="5" t="s">
        <v>906</v>
      </c>
      <c r="C99" s="5" t="b">
        <v>1</v>
      </c>
      <c r="D99" s="5" t="s">
        <v>969</v>
      </c>
      <c r="E99" s="5" t="s">
        <v>970</v>
      </c>
    </row>
    <row r="100">
      <c r="A100" s="5" t="s">
        <v>811</v>
      </c>
      <c r="B100" s="5" t="s">
        <v>918</v>
      </c>
      <c r="C100" s="5" t="b">
        <v>1</v>
      </c>
      <c r="D100" s="5" t="s">
        <v>969</v>
      </c>
      <c r="E100" s="5" t="s">
        <v>970</v>
      </c>
    </row>
    <row r="101">
      <c r="A101" s="9" t="s">
        <v>791</v>
      </c>
      <c r="B101" s="9" t="s">
        <v>981</v>
      </c>
      <c r="C101" s="9" t="b">
        <v>1</v>
      </c>
      <c r="D101" s="9" t="s">
        <v>969</v>
      </c>
      <c r="E101" s="9" t="s">
        <v>982</v>
      </c>
    </row>
    <row r="102">
      <c r="A102" s="9" t="s">
        <v>791</v>
      </c>
      <c r="B102" s="9" t="s">
        <v>983</v>
      </c>
      <c r="C102" s="9" t="b">
        <v>1</v>
      </c>
      <c r="D102" s="9" t="s">
        <v>969</v>
      </c>
      <c r="E102" s="9" t="s">
        <v>984</v>
      </c>
    </row>
    <row r="103">
      <c r="A103" s="9" t="s">
        <v>791</v>
      </c>
      <c r="B103" s="9" t="s">
        <v>985</v>
      </c>
      <c r="C103" s="9" t="b">
        <v>1</v>
      </c>
      <c r="D103" s="9" t="s">
        <v>969</v>
      </c>
      <c r="E103" s="9" t="s">
        <v>986</v>
      </c>
    </row>
    <row r="104">
      <c r="A104" s="9" t="s">
        <v>791</v>
      </c>
      <c r="B104" s="9" t="s">
        <v>987</v>
      </c>
      <c r="C104" s="9" t="b">
        <v>1</v>
      </c>
      <c r="D104" s="9" t="s">
        <v>969</v>
      </c>
      <c r="E104" s="9" t="s">
        <v>988</v>
      </c>
    </row>
    <row r="105">
      <c r="A105" s="9" t="s">
        <v>375</v>
      </c>
      <c r="B105" s="9" t="s">
        <v>981</v>
      </c>
      <c r="C105" s="9" t="b">
        <v>1</v>
      </c>
      <c r="D105" s="9" t="s">
        <v>969</v>
      </c>
      <c r="E105" s="9" t="s">
        <v>989</v>
      </c>
    </row>
    <row r="106">
      <c r="A106" s="9" t="s">
        <v>375</v>
      </c>
      <c r="B106" s="9" t="s">
        <v>983</v>
      </c>
      <c r="C106" s="9" t="b">
        <v>1</v>
      </c>
      <c r="D106" s="9" t="s">
        <v>969</v>
      </c>
      <c r="E106" s="9" t="s">
        <v>990</v>
      </c>
    </row>
    <row r="107">
      <c r="A107" s="9" t="s">
        <v>375</v>
      </c>
      <c r="B107" s="9" t="s">
        <v>985</v>
      </c>
      <c r="C107" s="9" t="b">
        <v>1</v>
      </c>
      <c r="D107" s="9" t="s">
        <v>969</v>
      </c>
      <c r="E107" s="9" t="s">
        <v>991</v>
      </c>
    </row>
    <row r="108">
      <c r="A108" s="9" t="s">
        <v>375</v>
      </c>
      <c r="B108" s="9" t="s">
        <v>987</v>
      </c>
      <c r="C108" s="9" t="b">
        <v>1</v>
      </c>
      <c r="D108" s="9" t="s">
        <v>969</v>
      </c>
      <c r="E108" s="9" t="s">
        <v>992</v>
      </c>
    </row>
    <row r="109">
      <c r="A109" s="9" t="s">
        <v>811</v>
      </c>
      <c r="B109" s="9" t="s">
        <v>921</v>
      </c>
      <c r="C109" s="9" t="b">
        <v>1</v>
      </c>
      <c r="D109" s="9" t="s">
        <v>969</v>
      </c>
      <c r="E109" s="9" t="s">
        <v>993</v>
      </c>
    </row>
    <row r="110">
      <c r="A110" s="9" t="s">
        <v>811</v>
      </c>
      <c r="B110" s="9" t="s">
        <v>924</v>
      </c>
      <c r="C110" s="9" t="b">
        <v>1</v>
      </c>
      <c r="D110" s="9" t="s">
        <v>969</v>
      </c>
      <c r="E110" s="9" t="s">
        <v>994</v>
      </c>
    </row>
    <row r="111">
      <c r="A111" s="9" t="s">
        <v>811</v>
      </c>
      <c r="B111" s="9" t="s">
        <v>926</v>
      </c>
      <c r="C111" s="9" t="b">
        <v>1</v>
      </c>
      <c r="D111" s="9" t="s">
        <v>969</v>
      </c>
      <c r="E111" s="9" t="s">
        <v>995</v>
      </c>
    </row>
    <row r="112">
      <c r="A112" s="9" t="s">
        <v>385</v>
      </c>
      <c r="B112" s="9" t="s">
        <v>932</v>
      </c>
      <c r="C112" s="9" t="b">
        <v>1</v>
      </c>
      <c r="D112" s="9" t="s">
        <v>996</v>
      </c>
      <c r="E112" s="9" t="s">
        <v>997</v>
      </c>
    </row>
    <row r="113">
      <c r="A113" s="9" t="s">
        <v>385</v>
      </c>
      <c r="B113" s="9" t="s">
        <v>934</v>
      </c>
      <c r="C113" s="9" t="b">
        <v>1</v>
      </c>
      <c r="D113" s="9" t="s">
        <v>996</v>
      </c>
      <c r="E113" s="9" t="s">
        <v>998</v>
      </c>
    </row>
    <row r="114">
      <c r="A114" s="9" t="s">
        <v>385</v>
      </c>
      <c r="B114" s="9" t="s">
        <v>936</v>
      </c>
      <c r="C114" s="9" t="b">
        <v>1</v>
      </c>
      <c r="D114" s="9" t="s">
        <v>996</v>
      </c>
      <c r="E114" s="9" t="s">
        <v>999</v>
      </c>
    </row>
    <row r="115">
      <c r="A115" s="9" t="s">
        <v>385</v>
      </c>
      <c r="B115" s="9" t="s">
        <v>938</v>
      </c>
      <c r="C115" s="9" t="b">
        <v>1</v>
      </c>
      <c r="D115" s="9" t="s">
        <v>996</v>
      </c>
      <c r="E115" s="9" t="s">
        <v>1000</v>
      </c>
    </row>
    <row r="116">
      <c r="A116" s="9" t="s">
        <v>385</v>
      </c>
      <c r="B116" s="9" t="s">
        <v>942</v>
      </c>
      <c r="C116" s="9" t="b">
        <v>1</v>
      </c>
      <c r="D116" s="9" t="s">
        <v>996</v>
      </c>
      <c r="E116" s="9" t="s">
        <v>1001</v>
      </c>
    </row>
    <row r="117">
      <c r="A117" s="9" t="s">
        <v>410</v>
      </c>
      <c r="B117" s="9" t="s">
        <v>932</v>
      </c>
      <c r="C117" s="9" t="b">
        <v>1</v>
      </c>
      <c r="D117" s="9" t="s">
        <v>996</v>
      </c>
      <c r="E117" s="9" t="s">
        <v>1002</v>
      </c>
    </row>
    <row r="118">
      <c r="A118" s="9" t="s">
        <v>410</v>
      </c>
      <c r="B118" s="9" t="s">
        <v>934</v>
      </c>
      <c r="C118" s="9" t="b">
        <v>1</v>
      </c>
      <c r="D118" s="9" t="s">
        <v>996</v>
      </c>
      <c r="E118" s="9" t="s">
        <v>1003</v>
      </c>
    </row>
    <row r="119">
      <c r="A119" s="9" t="s">
        <v>410</v>
      </c>
      <c r="B119" s="9" t="s">
        <v>936</v>
      </c>
      <c r="C119" s="9" t="b">
        <v>1</v>
      </c>
      <c r="D119" s="9" t="s">
        <v>996</v>
      </c>
      <c r="E119" s="9" t="s">
        <v>1004</v>
      </c>
    </row>
    <row r="120">
      <c r="A120" s="9" t="s">
        <v>410</v>
      </c>
      <c r="B120" s="9" t="s">
        <v>938</v>
      </c>
      <c r="C120" s="9" t="b">
        <v>1</v>
      </c>
      <c r="D120" s="9" t="s">
        <v>996</v>
      </c>
      <c r="E120" s="9" t="s">
        <v>1005</v>
      </c>
    </row>
    <row r="121">
      <c r="A121" s="9" t="s">
        <v>814</v>
      </c>
      <c r="B121" s="9" t="s">
        <v>932</v>
      </c>
      <c r="C121" s="9" t="b">
        <v>1</v>
      </c>
      <c r="D121" s="9" t="s">
        <v>969</v>
      </c>
      <c r="E121" s="9" t="s">
        <v>1006</v>
      </c>
    </row>
    <row r="122">
      <c r="A122" s="9" t="s">
        <v>814</v>
      </c>
      <c r="B122" s="9" t="s">
        <v>940</v>
      </c>
      <c r="C122" s="9" t="b">
        <v>1</v>
      </c>
      <c r="D122" s="9" t="s">
        <v>969</v>
      </c>
      <c r="E122" s="9" t="s">
        <v>1007</v>
      </c>
    </row>
    <row r="123">
      <c r="A123" s="9" t="s">
        <v>814</v>
      </c>
      <c r="B123" s="9" t="s">
        <v>942</v>
      </c>
      <c r="C123" s="9" t="b">
        <v>1</v>
      </c>
      <c r="D123" s="9" t="s">
        <v>969</v>
      </c>
      <c r="E123" s="9" t="s">
        <v>1008</v>
      </c>
    </row>
    <row r="124">
      <c r="A124" s="9" t="s">
        <v>814</v>
      </c>
      <c r="B124" s="9" t="s">
        <v>901</v>
      </c>
      <c r="C124" s="9" t="b">
        <v>1</v>
      </c>
      <c r="D124" s="9" t="s">
        <v>969</v>
      </c>
      <c r="E124" s="9" t="s">
        <v>1009</v>
      </c>
    </row>
    <row r="125">
      <c r="A125" s="9" t="s">
        <v>394</v>
      </c>
      <c r="B125" s="9" t="s">
        <v>932</v>
      </c>
      <c r="C125" s="9" t="b">
        <v>1</v>
      </c>
      <c r="D125" s="9" t="s">
        <v>1010</v>
      </c>
      <c r="E125" s="9" t="s">
        <v>1011</v>
      </c>
    </row>
    <row r="126">
      <c r="A126" s="9" t="s">
        <v>580</v>
      </c>
      <c r="B126" s="9" t="s">
        <v>932</v>
      </c>
      <c r="C126" s="9" t="b">
        <v>1</v>
      </c>
      <c r="D126" s="9" t="s">
        <v>1010</v>
      </c>
      <c r="E126" s="9" t="s">
        <v>1012</v>
      </c>
    </row>
    <row r="127">
      <c r="A127" s="9" t="s">
        <v>385</v>
      </c>
      <c r="B127" s="9" t="s">
        <v>947</v>
      </c>
      <c r="C127" s="9" t="b">
        <v>1</v>
      </c>
      <c r="D127" s="9" t="s">
        <v>996</v>
      </c>
      <c r="E127" s="9" t="s">
        <v>1013</v>
      </c>
    </row>
    <row r="128">
      <c r="A128" s="9" t="s">
        <v>796</v>
      </c>
      <c r="B128" s="9" t="s">
        <v>950</v>
      </c>
      <c r="C128" s="9" t="b">
        <v>1</v>
      </c>
      <c r="D128" s="9" t="s">
        <v>969</v>
      </c>
      <c r="E128" s="9" t="s">
        <v>1014</v>
      </c>
    </row>
    <row r="129">
      <c r="A129" s="9" t="s">
        <v>805</v>
      </c>
      <c r="B129" s="9" t="s">
        <v>950</v>
      </c>
      <c r="C129" s="9" t="b">
        <v>1</v>
      </c>
      <c r="D129" s="9" t="s">
        <v>969</v>
      </c>
      <c r="E129" s="9" t="s">
        <v>1015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7.63"/>
  </cols>
  <sheetData>
    <row r="1">
      <c r="A1" s="22" t="s">
        <v>1016</v>
      </c>
      <c r="B1" s="22" t="s">
        <v>1017</v>
      </c>
      <c r="C1" s="22" t="s">
        <v>1018</v>
      </c>
      <c r="D1" s="22" t="s">
        <v>1019</v>
      </c>
      <c r="E1" s="22" t="s">
        <v>1020</v>
      </c>
      <c r="F1" s="22" t="s">
        <v>1021</v>
      </c>
      <c r="G1" s="22" t="s">
        <v>368</v>
      </c>
      <c r="H1" s="22" t="s">
        <v>1022</v>
      </c>
      <c r="I1" s="22" t="s">
        <v>369</v>
      </c>
      <c r="J1" s="20" t="s">
        <v>349</v>
      </c>
    </row>
    <row r="2">
      <c r="A2" s="5" t="s">
        <v>912</v>
      </c>
      <c r="B2" s="18" t="s">
        <v>471</v>
      </c>
      <c r="C2" s="5" t="s">
        <v>1023</v>
      </c>
      <c r="D2" s="5" t="s">
        <v>1024</v>
      </c>
      <c r="E2" s="5" t="s">
        <v>1025</v>
      </c>
      <c r="F2" s="5" t="s">
        <v>377</v>
      </c>
      <c r="G2" s="5">
        <v>10.0</v>
      </c>
      <c r="H2" s="18" t="s">
        <v>471</v>
      </c>
      <c r="I2" s="5" t="b">
        <v>1</v>
      </c>
      <c r="J2" s="9" t="s">
        <v>1026</v>
      </c>
    </row>
    <row r="3">
      <c r="A3" s="5" t="s">
        <v>827</v>
      </c>
      <c r="B3" s="18" t="s">
        <v>471</v>
      </c>
      <c r="C3" s="5" t="s">
        <v>1027</v>
      </c>
      <c r="D3" s="5" t="s">
        <v>1028</v>
      </c>
      <c r="E3" s="5" t="s">
        <v>1029</v>
      </c>
      <c r="F3" s="5" t="s">
        <v>1030</v>
      </c>
      <c r="G3" s="5">
        <v>20.0</v>
      </c>
      <c r="H3" s="18" t="s">
        <v>471</v>
      </c>
      <c r="I3" s="5" t="b">
        <v>1</v>
      </c>
      <c r="J3" s="9" t="s">
        <v>1031</v>
      </c>
    </row>
    <row r="4">
      <c r="A4" s="5" t="s">
        <v>1032</v>
      </c>
      <c r="B4" s="5" t="s">
        <v>827</v>
      </c>
      <c r="C4" s="5" t="s">
        <v>1033</v>
      </c>
      <c r="D4" s="5" t="s">
        <v>1034</v>
      </c>
      <c r="E4" s="5" t="s">
        <v>1035</v>
      </c>
      <c r="F4" s="5" t="s">
        <v>1030</v>
      </c>
      <c r="G4" s="5">
        <v>21.0</v>
      </c>
      <c r="H4" s="18" t="s">
        <v>471</v>
      </c>
      <c r="I4" s="5" t="b">
        <v>1</v>
      </c>
      <c r="J4" s="9" t="s">
        <v>471</v>
      </c>
    </row>
    <row r="5">
      <c r="A5" s="5" t="s">
        <v>1036</v>
      </c>
      <c r="B5" s="5" t="s">
        <v>827</v>
      </c>
      <c r="C5" s="5" t="s">
        <v>1037</v>
      </c>
      <c r="D5" s="5" t="s">
        <v>1038</v>
      </c>
      <c r="E5" s="5" t="s">
        <v>1039</v>
      </c>
      <c r="F5" s="5" t="s">
        <v>1030</v>
      </c>
      <c r="G5" s="5">
        <v>22.0</v>
      </c>
      <c r="H5" s="18" t="s">
        <v>471</v>
      </c>
      <c r="I5" s="5" t="b">
        <v>1</v>
      </c>
      <c r="J5" s="9" t="s">
        <v>1040</v>
      </c>
    </row>
    <row r="6">
      <c r="A6" s="5" t="s">
        <v>1041</v>
      </c>
      <c r="B6" s="5" t="s">
        <v>827</v>
      </c>
      <c r="C6" s="5" t="s">
        <v>1042</v>
      </c>
      <c r="D6" s="5" t="s">
        <v>1043</v>
      </c>
      <c r="E6" s="5" t="s">
        <v>1044</v>
      </c>
      <c r="F6" s="5" t="s">
        <v>1030</v>
      </c>
      <c r="G6" s="5">
        <v>23.0</v>
      </c>
      <c r="H6" s="18" t="s">
        <v>471</v>
      </c>
      <c r="I6" s="5" t="b">
        <v>1</v>
      </c>
      <c r="J6" s="9" t="s">
        <v>1045</v>
      </c>
    </row>
    <row r="7">
      <c r="A7" s="5" t="s">
        <v>1046</v>
      </c>
      <c r="B7" s="18" t="s">
        <v>827</v>
      </c>
      <c r="C7" s="5" t="s">
        <v>1047</v>
      </c>
      <c r="D7" s="5" t="s">
        <v>1048</v>
      </c>
      <c r="E7" s="5" t="s">
        <v>1049</v>
      </c>
      <c r="F7" s="5" t="s">
        <v>1030</v>
      </c>
      <c r="G7" s="5">
        <v>24.0</v>
      </c>
      <c r="H7" s="18" t="s">
        <v>471</v>
      </c>
      <c r="I7" s="5" t="b">
        <v>1</v>
      </c>
      <c r="J7" s="9" t="s">
        <v>1050</v>
      </c>
    </row>
    <row r="8">
      <c r="A8" s="5" t="s">
        <v>180</v>
      </c>
      <c r="B8" s="18" t="s">
        <v>471</v>
      </c>
      <c r="C8" s="5" t="s">
        <v>1051</v>
      </c>
      <c r="D8" s="5" t="s">
        <v>1052</v>
      </c>
      <c r="E8" s="5" t="s">
        <v>1053</v>
      </c>
      <c r="F8" s="5" t="s">
        <v>1054</v>
      </c>
      <c r="G8" s="5">
        <v>30.0</v>
      </c>
      <c r="H8" s="18" t="s">
        <v>471</v>
      </c>
      <c r="I8" s="5" t="b">
        <v>1</v>
      </c>
      <c r="J8" s="9" t="s">
        <v>1055</v>
      </c>
    </row>
    <row r="9">
      <c r="A9" s="5" t="s">
        <v>922</v>
      </c>
      <c r="B9" s="18" t="s">
        <v>471</v>
      </c>
      <c r="C9" s="5" t="s">
        <v>1056</v>
      </c>
      <c r="D9" s="5" t="s">
        <v>1057</v>
      </c>
      <c r="E9" s="5" t="s">
        <v>1058</v>
      </c>
      <c r="F9" s="5" t="s">
        <v>1059</v>
      </c>
      <c r="G9" s="5">
        <v>35.0</v>
      </c>
      <c r="H9" s="18" t="s">
        <v>471</v>
      </c>
      <c r="I9" s="5" t="b">
        <v>1</v>
      </c>
      <c r="J9" s="9" t="s">
        <v>1060</v>
      </c>
    </row>
    <row r="10">
      <c r="A10" s="5" t="s">
        <v>1061</v>
      </c>
      <c r="B10" s="18" t="s">
        <v>471</v>
      </c>
      <c r="C10" s="5" t="s">
        <v>1062</v>
      </c>
      <c r="D10" s="5" t="s">
        <v>1063</v>
      </c>
      <c r="E10" s="5" t="s">
        <v>1064</v>
      </c>
      <c r="F10" s="5" t="s">
        <v>386</v>
      </c>
      <c r="G10" s="5">
        <v>40.0</v>
      </c>
      <c r="H10" s="18" t="s">
        <v>471</v>
      </c>
      <c r="I10" s="5" t="b">
        <v>1</v>
      </c>
      <c r="J10" s="9" t="s">
        <v>1065</v>
      </c>
    </row>
    <row r="11">
      <c r="A11" s="5" t="s">
        <v>1066</v>
      </c>
      <c r="B11" s="18" t="s">
        <v>471</v>
      </c>
      <c r="C11" s="5" t="s">
        <v>1067</v>
      </c>
      <c r="D11" s="5" t="s">
        <v>1068</v>
      </c>
      <c r="E11" s="5" t="s">
        <v>1069</v>
      </c>
      <c r="F11" s="5" t="s">
        <v>1070</v>
      </c>
      <c r="G11" s="5">
        <v>50.0</v>
      </c>
      <c r="H11" s="18" t="s">
        <v>1071</v>
      </c>
      <c r="I11" s="5" t="b">
        <v>1</v>
      </c>
      <c r="J11" s="9" t="s">
        <v>1072</v>
      </c>
    </row>
    <row r="12">
      <c r="A12" s="5" t="s">
        <v>852</v>
      </c>
      <c r="B12" s="18" t="s">
        <v>1066</v>
      </c>
      <c r="C12" s="5" t="s">
        <v>392</v>
      </c>
      <c r="D12" s="5" t="s">
        <v>1073</v>
      </c>
      <c r="E12" s="5" t="s">
        <v>1074</v>
      </c>
      <c r="F12" s="5" t="s">
        <v>395</v>
      </c>
      <c r="G12" s="5">
        <v>51.0</v>
      </c>
      <c r="H12" s="18" t="s">
        <v>1075</v>
      </c>
      <c r="I12" s="5" t="b">
        <v>1</v>
      </c>
      <c r="J12" s="9" t="s">
        <v>1076</v>
      </c>
    </row>
    <row r="13">
      <c r="A13" s="5" t="s">
        <v>262</v>
      </c>
      <c r="B13" s="18" t="s">
        <v>1066</v>
      </c>
      <c r="C13" s="5" t="s">
        <v>1077</v>
      </c>
      <c r="D13" s="5" t="s">
        <v>1078</v>
      </c>
      <c r="E13" s="5" t="s">
        <v>1079</v>
      </c>
      <c r="F13" s="5" t="s">
        <v>1070</v>
      </c>
      <c r="G13" s="5">
        <v>52.0</v>
      </c>
      <c r="H13" s="18" t="s">
        <v>1071</v>
      </c>
      <c r="I13" s="5" t="b">
        <v>1</v>
      </c>
      <c r="J13" s="9" t="s">
        <v>1080</v>
      </c>
    </row>
    <row r="14">
      <c r="A14" s="9" t="s">
        <v>406</v>
      </c>
      <c r="B14" s="9" t="s">
        <v>1066</v>
      </c>
      <c r="C14" s="9" t="s">
        <v>408</v>
      </c>
      <c r="D14" s="9" t="s">
        <v>1081</v>
      </c>
      <c r="E14" s="9" t="s">
        <v>1082</v>
      </c>
      <c r="F14" s="9" t="s">
        <v>411</v>
      </c>
      <c r="G14" s="9">
        <v>53.0</v>
      </c>
      <c r="H14" s="9" t="s">
        <v>1083</v>
      </c>
      <c r="I14" s="9" t="b">
        <v>1</v>
      </c>
      <c r="J14" s="9" t="s">
        <v>1084</v>
      </c>
    </row>
    <row r="15">
      <c r="A15" s="9" t="s">
        <v>416</v>
      </c>
      <c r="B15" s="9" t="s">
        <v>1066</v>
      </c>
      <c r="C15" s="9" t="s">
        <v>1085</v>
      </c>
      <c r="D15" s="9" t="s">
        <v>1086</v>
      </c>
      <c r="E15" s="9" t="s">
        <v>1087</v>
      </c>
      <c r="F15" s="9" t="s">
        <v>1088</v>
      </c>
      <c r="G15" s="9">
        <v>54.0</v>
      </c>
      <c r="H15" s="9" t="s">
        <v>1071</v>
      </c>
      <c r="I15" s="9" t="b">
        <v>1</v>
      </c>
      <c r="J15" s="9" t="s">
        <v>1089</v>
      </c>
    </row>
    <row r="16">
      <c r="A16" s="9" t="s">
        <v>423</v>
      </c>
      <c r="B16" s="9" t="s">
        <v>1066</v>
      </c>
      <c r="C16" s="9" t="s">
        <v>425</v>
      </c>
      <c r="D16" s="9" t="s">
        <v>1090</v>
      </c>
      <c r="E16" s="9" t="s">
        <v>1091</v>
      </c>
      <c r="F16" s="9" t="s">
        <v>1070</v>
      </c>
      <c r="G16" s="9">
        <v>55.0</v>
      </c>
      <c r="H16" s="9" t="s">
        <v>1071</v>
      </c>
      <c r="I16" s="9" t="b">
        <v>1</v>
      </c>
      <c r="J16" s="9" t="s">
        <v>1092</v>
      </c>
    </row>
    <row r="17">
      <c r="A17" s="9" t="s">
        <v>429</v>
      </c>
      <c r="B17" s="9" t="s">
        <v>1066</v>
      </c>
      <c r="C17" s="9" t="s">
        <v>431</v>
      </c>
      <c r="D17" s="9" t="s">
        <v>1093</v>
      </c>
      <c r="E17" s="9" t="s">
        <v>1094</v>
      </c>
      <c r="F17" s="9" t="s">
        <v>1095</v>
      </c>
      <c r="G17" s="9">
        <v>56.0</v>
      </c>
      <c r="H17" s="9" t="s">
        <v>1071</v>
      </c>
      <c r="I17" s="9" t="b">
        <v>1</v>
      </c>
      <c r="J17" s="9" t="s">
        <v>1096</v>
      </c>
    </row>
    <row r="18">
      <c r="A18" s="9" t="s">
        <v>945</v>
      </c>
      <c r="B18" s="9" t="s">
        <v>471</v>
      </c>
      <c r="C18" s="9" t="s">
        <v>1097</v>
      </c>
      <c r="D18" s="9" t="s">
        <v>1098</v>
      </c>
      <c r="E18" s="9" t="s">
        <v>1099</v>
      </c>
      <c r="F18" s="9" t="s">
        <v>461</v>
      </c>
      <c r="G18" s="9">
        <v>70.0</v>
      </c>
      <c r="H18" s="9" t="s">
        <v>471</v>
      </c>
      <c r="I18" s="9" t="b">
        <v>1</v>
      </c>
      <c r="J18" s="9" t="s">
        <v>1100</v>
      </c>
    </row>
    <row r="19">
      <c r="A19" s="9" t="s">
        <v>309</v>
      </c>
      <c r="B19" s="9" t="s">
        <v>471</v>
      </c>
      <c r="C19" s="9" t="s">
        <v>1101</v>
      </c>
      <c r="D19" s="9" t="s">
        <v>1102</v>
      </c>
      <c r="E19" s="9" t="s">
        <v>1103</v>
      </c>
      <c r="F19" s="9" t="s">
        <v>1104</v>
      </c>
      <c r="G19" s="9">
        <v>80.0</v>
      </c>
      <c r="H19" s="9" t="s">
        <v>471</v>
      </c>
      <c r="I19" s="9" t="b">
        <v>1</v>
      </c>
      <c r="J19" s="9" t="s">
        <v>1105</v>
      </c>
    </row>
    <row r="20">
      <c r="A20" s="9" t="s">
        <v>1106</v>
      </c>
      <c r="B20" s="9" t="s">
        <v>471</v>
      </c>
      <c r="C20" s="9" t="s">
        <v>1107</v>
      </c>
      <c r="D20" s="9" t="s">
        <v>1108</v>
      </c>
      <c r="E20" s="9" t="s">
        <v>1109</v>
      </c>
      <c r="F20" s="9" t="s">
        <v>791</v>
      </c>
      <c r="G20" s="9">
        <v>90.0</v>
      </c>
      <c r="H20" s="9" t="s">
        <v>471</v>
      </c>
      <c r="I20" s="9" t="b">
        <v>1</v>
      </c>
      <c r="J20" s="9" t="s">
        <v>1110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5" width="18.25"/>
  </cols>
  <sheetData>
    <row r="1">
      <c r="A1" s="23" t="s">
        <v>1111</v>
      </c>
      <c r="B1" s="23" t="s">
        <v>1112</v>
      </c>
      <c r="C1" s="23" t="s">
        <v>463</v>
      </c>
      <c r="D1" s="23" t="s">
        <v>464</v>
      </c>
      <c r="E1" s="23" t="s">
        <v>1113</v>
      </c>
      <c r="F1" s="23" t="s">
        <v>1114</v>
      </c>
      <c r="G1" s="23" t="s">
        <v>1115</v>
      </c>
      <c r="H1" s="23" t="s">
        <v>211</v>
      </c>
      <c r="I1" s="23" t="s">
        <v>467</v>
      </c>
      <c r="J1" s="23" t="s">
        <v>465</v>
      </c>
      <c r="K1" s="23" t="s">
        <v>1022</v>
      </c>
      <c r="L1" s="23" t="s">
        <v>1116</v>
      </c>
      <c r="M1" s="23" t="s">
        <v>368</v>
      </c>
      <c r="N1" s="23" t="s">
        <v>369</v>
      </c>
      <c r="O1" s="23" t="s">
        <v>349</v>
      </c>
    </row>
    <row r="2">
      <c r="A2" s="11" t="s">
        <v>139</v>
      </c>
      <c r="B2" s="11" t="s">
        <v>1117</v>
      </c>
      <c r="C2" s="11" t="s">
        <v>126</v>
      </c>
      <c r="D2" s="11" t="s">
        <v>740</v>
      </c>
      <c r="E2" s="11" t="s">
        <v>216</v>
      </c>
      <c r="F2" s="11" t="s">
        <v>75</v>
      </c>
      <c r="G2" s="11" t="s">
        <v>617</v>
      </c>
      <c r="H2" s="11" t="b">
        <v>1</v>
      </c>
      <c r="J2" s="11" t="s">
        <v>1118</v>
      </c>
      <c r="L2" s="11" t="s">
        <v>1119</v>
      </c>
      <c r="M2" s="11">
        <v>1.0</v>
      </c>
      <c r="N2" s="11" t="b">
        <v>1</v>
      </c>
      <c r="O2" s="11" t="s">
        <v>1120</v>
      </c>
    </row>
    <row r="3">
      <c r="A3" s="11" t="s">
        <v>139</v>
      </c>
      <c r="B3" s="11" t="s">
        <v>1117</v>
      </c>
      <c r="C3" s="11" t="s">
        <v>1121</v>
      </c>
      <c r="D3" s="11" t="s">
        <v>1122</v>
      </c>
      <c r="E3" s="11" t="s">
        <v>1123</v>
      </c>
      <c r="F3" s="11" t="s">
        <v>75</v>
      </c>
      <c r="G3" s="11" t="s">
        <v>617</v>
      </c>
      <c r="H3" s="11" t="b">
        <v>1</v>
      </c>
      <c r="J3" s="11" t="s">
        <v>1118</v>
      </c>
      <c r="L3" s="11" t="s">
        <v>1124</v>
      </c>
      <c r="M3" s="11">
        <v>2.0</v>
      </c>
      <c r="N3" s="11" t="b">
        <v>1</v>
      </c>
      <c r="O3" s="11" t="s">
        <v>1125</v>
      </c>
    </row>
    <row r="4">
      <c r="A4" s="11" t="s">
        <v>953</v>
      </c>
      <c r="B4" s="11" t="s">
        <v>371</v>
      </c>
      <c r="C4" s="11" t="s">
        <v>126</v>
      </c>
      <c r="D4" s="11" t="s">
        <v>740</v>
      </c>
      <c r="E4" s="11" t="s">
        <v>216</v>
      </c>
      <c r="F4" s="11" t="s">
        <v>75</v>
      </c>
      <c r="G4" s="11" t="s">
        <v>617</v>
      </c>
      <c r="H4" s="11" t="b">
        <v>1</v>
      </c>
      <c r="J4" s="11" t="s">
        <v>1030</v>
      </c>
      <c r="L4" s="11" t="s">
        <v>1126</v>
      </c>
      <c r="M4" s="11">
        <v>1.0</v>
      </c>
      <c r="N4" s="11" t="b">
        <v>1</v>
      </c>
    </row>
    <row r="5">
      <c r="A5" s="11" t="s">
        <v>953</v>
      </c>
      <c r="B5" s="11" t="s">
        <v>371</v>
      </c>
      <c r="C5" s="11" t="s">
        <v>1121</v>
      </c>
      <c r="D5" s="11" t="s">
        <v>1122</v>
      </c>
      <c r="E5" s="11" t="s">
        <v>1123</v>
      </c>
      <c r="F5" s="11" t="s">
        <v>75</v>
      </c>
      <c r="G5" s="11" t="s">
        <v>617</v>
      </c>
      <c r="H5" s="11" t="b">
        <v>1</v>
      </c>
      <c r="J5" s="11" t="s">
        <v>1030</v>
      </c>
      <c r="L5" s="11" t="s">
        <v>1124</v>
      </c>
      <c r="M5" s="11">
        <v>2.0</v>
      </c>
      <c r="N5" s="11" t="b">
        <v>1</v>
      </c>
    </row>
    <row r="6">
      <c r="A6" s="11" t="s">
        <v>953</v>
      </c>
      <c r="B6" s="11" t="s">
        <v>371</v>
      </c>
      <c r="C6" s="11" t="s">
        <v>1127</v>
      </c>
      <c r="D6" s="11" t="s">
        <v>1128</v>
      </c>
      <c r="E6" s="11" t="s">
        <v>216</v>
      </c>
      <c r="F6" s="11" t="s">
        <v>75</v>
      </c>
      <c r="G6" s="11" t="s">
        <v>617</v>
      </c>
      <c r="H6" s="11" t="b">
        <v>1</v>
      </c>
      <c r="J6" s="11" t="s">
        <v>1030</v>
      </c>
      <c r="L6" s="11" t="s">
        <v>1119</v>
      </c>
      <c r="M6" s="11">
        <v>3.0</v>
      </c>
      <c r="N6" s="11" t="b">
        <v>1</v>
      </c>
    </row>
    <row r="7">
      <c r="A7" s="11" t="s">
        <v>953</v>
      </c>
      <c r="B7" s="11" t="s">
        <v>1129</v>
      </c>
      <c r="C7" s="11" t="s">
        <v>338</v>
      </c>
      <c r="D7" s="11" t="s">
        <v>1130</v>
      </c>
      <c r="E7" s="11" t="s">
        <v>1131</v>
      </c>
      <c r="F7" s="11" t="s">
        <v>75</v>
      </c>
      <c r="G7" s="11" t="s">
        <v>617</v>
      </c>
      <c r="H7" s="11" t="b">
        <v>1</v>
      </c>
      <c r="I7" s="11" t="s">
        <v>479</v>
      </c>
      <c r="J7" s="11" t="s">
        <v>1030</v>
      </c>
      <c r="M7" s="11">
        <v>10.0</v>
      </c>
      <c r="N7" s="11" t="b">
        <v>1</v>
      </c>
    </row>
    <row r="8">
      <c r="A8" s="11" t="s">
        <v>953</v>
      </c>
      <c r="B8" s="11" t="s">
        <v>1129</v>
      </c>
      <c r="C8" s="11" t="s">
        <v>1132</v>
      </c>
      <c r="D8" s="11" t="s">
        <v>741</v>
      </c>
      <c r="E8" s="11" t="s">
        <v>1133</v>
      </c>
      <c r="F8" s="11" t="s">
        <v>75</v>
      </c>
      <c r="G8" s="11" t="s">
        <v>617</v>
      </c>
      <c r="H8" s="11" t="b">
        <v>1</v>
      </c>
      <c r="I8" s="11" t="s">
        <v>1134</v>
      </c>
      <c r="J8" s="11" t="s">
        <v>1030</v>
      </c>
      <c r="L8" s="11" t="s">
        <v>1135</v>
      </c>
      <c r="M8" s="11">
        <v>11.0</v>
      </c>
      <c r="N8" s="11" t="b">
        <v>1</v>
      </c>
    </row>
    <row r="9">
      <c r="A9" s="11" t="s">
        <v>953</v>
      </c>
      <c r="B9" s="11" t="s">
        <v>1129</v>
      </c>
      <c r="C9" s="11" t="s">
        <v>94</v>
      </c>
      <c r="D9" s="11" t="s">
        <v>1136</v>
      </c>
      <c r="E9" s="11" t="s">
        <v>1131</v>
      </c>
      <c r="F9" s="11" t="s">
        <v>75</v>
      </c>
      <c r="G9" s="11" t="s">
        <v>617</v>
      </c>
      <c r="H9" s="11" t="b">
        <v>1</v>
      </c>
      <c r="I9" s="11" t="s">
        <v>1137</v>
      </c>
      <c r="J9" s="11" t="s">
        <v>1030</v>
      </c>
      <c r="M9" s="11">
        <v>12.0</v>
      </c>
      <c r="N9" s="11" t="b">
        <v>1</v>
      </c>
    </row>
    <row r="10">
      <c r="A10" s="11" t="s">
        <v>180</v>
      </c>
      <c r="B10" s="11" t="s">
        <v>1117</v>
      </c>
      <c r="C10" s="11" t="s">
        <v>1138</v>
      </c>
      <c r="D10" s="11" t="s">
        <v>1139</v>
      </c>
      <c r="E10" s="11" t="s">
        <v>216</v>
      </c>
      <c r="F10" s="11" t="s">
        <v>75</v>
      </c>
      <c r="G10" s="11" t="s">
        <v>180</v>
      </c>
      <c r="H10" s="11" t="b">
        <v>1</v>
      </c>
      <c r="J10" s="11" t="s">
        <v>1140</v>
      </c>
      <c r="L10" s="11" t="s">
        <v>1141</v>
      </c>
      <c r="M10" s="11">
        <v>1.0</v>
      </c>
      <c r="N10" s="11" t="b">
        <v>1</v>
      </c>
      <c r="O10" s="11" t="s">
        <v>1142</v>
      </c>
    </row>
    <row r="11">
      <c r="A11" s="11" t="s">
        <v>180</v>
      </c>
      <c r="B11" s="11" t="s">
        <v>1117</v>
      </c>
      <c r="C11" s="11" t="s">
        <v>337</v>
      </c>
      <c r="D11" s="11" t="s">
        <v>473</v>
      </c>
      <c r="E11" s="11" t="s">
        <v>474</v>
      </c>
      <c r="F11" s="11" t="s">
        <v>75</v>
      </c>
      <c r="G11" s="11" t="s">
        <v>180</v>
      </c>
      <c r="H11" s="11" t="b">
        <v>1</v>
      </c>
      <c r="J11" s="11" t="s">
        <v>1140</v>
      </c>
      <c r="L11" s="11" t="s">
        <v>1143</v>
      </c>
      <c r="M11" s="11">
        <v>2.0</v>
      </c>
      <c r="N11" s="11" t="b">
        <v>1</v>
      </c>
      <c r="O11" s="11" t="s">
        <v>1144</v>
      </c>
    </row>
    <row r="12">
      <c r="A12" s="11" t="s">
        <v>180</v>
      </c>
      <c r="B12" s="11" t="s">
        <v>1117</v>
      </c>
      <c r="C12" s="11" t="s">
        <v>338</v>
      </c>
      <c r="D12" s="11" t="s">
        <v>1145</v>
      </c>
      <c r="E12" s="11" t="s">
        <v>1131</v>
      </c>
      <c r="F12" s="11" t="s">
        <v>75</v>
      </c>
      <c r="G12" s="11" t="s">
        <v>180</v>
      </c>
      <c r="H12" s="11" t="b">
        <v>1</v>
      </c>
      <c r="I12" s="11" t="s">
        <v>479</v>
      </c>
      <c r="J12" s="11" t="s">
        <v>1140</v>
      </c>
      <c r="M12" s="11">
        <v>3.0</v>
      </c>
      <c r="N12" s="11" t="b">
        <v>1</v>
      </c>
    </row>
    <row r="13">
      <c r="A13" s="11" t="s">
        <v>180</v>
      </c>
      <c r="B13" s="11" t="s">
        <v>1117</v>
      </c>
      <c r="C13" s="11" t="s">
        <v>550</v>
      </c>
      <c r="D13" s="11" t="s">
        <v>551</v>
      </c>
      <c r="E13" s="11" t="s">
        <v>1131</v>
      </c>
      <c r="F13" s="11" t="s">
        <v>75</v>
      </c>
      <c r="G13" s="11" t="s">
        <v>180</v>
      </c>
      <c r="H13" s="11" t="b">
        <v>1</v>
      </c>
      <c r="I13" s="11" t="s">
        <v>552</v>
      </c>
      <c r="J13" s="11" t="s">
        <v>489</v>
      </c>
      <c r="M13" s="11">
        <v>4.0</v>
      </c>
      <c r="N13" s="11" t="b">
        <v>1</v>
      </c>
    </row>
    <row r="14">
      <c r="A14" s="11" t="s">
        <v>180</v>
      </c>
      <c r="B14" s="11" t="s">
        <v>1146</v>
      </c>
      <c r="C14" s="11" t="s">
        <v>492</v>
      </c>
      <c r="D14" s="11" t="s">
        <v>493</v>
      </c>
      <c r="E14" s="11" t="s">
        <v>494</v>
      </c>
      <c r="F14" s="11" t="s">
        <v>75</v>
      </c>
      <c r="G14" s="11" t="s">
        <v>180</v>
      </c>
      <c r="H14" s="11" t="b">
        <v>1</v>
      </c>
      <c r="J14" s="11" t="s">
        <v>1140</v>
      </c>
      <c r="M14" s="11">
        <v>10.0</v>
      </c>
      <c r="N14" s="11" t="b">
        <v>1</v>
      </c>
    </row>
    <row r="15">
      <c r="A15" s="11" t="s">
        <v>180</v>
      </c>
      <c r="B15" s="11" t="s">
        <v>1146</v>
      </c>
      <c r="C15" s="11" t="s">
        <v>496</v>
      </c>
      <c r="D15" s="11" t="s">
        <v>497</v>
      </c>
      <c r="E15" s="11" t="s">
        <v>494</v>
      </c>
      <c r="F15" s="11" t="s">
        <v>75</v>
      </c>
      <c r="G15" s="11" t="s">
        <v>180</v>
      </c>
      <c r="H15" s="11" t="b">
        <v>1</v>
      </c>
      <c r="J15" s="11" t="s">
        <v>1140</v>
      </c>
      <c r="L15" s="11" t="s">
        <v>1147</v>
      </c>
      <c r="M15" s="11">
        <v>11.0</v>
      </c>
      <c r="N15" s="11" t="b">
        <v>1</v>
      </c>
    </row>
    <row r="16">
      <c r="A16" s="11" t="s">
        <v>1061</v>
      </c>
      <c r="B16" s="11" t="s">
        <v>510</v>
      </c>
      <c r="C16" s="11" t="s">
        <v>532</v>
      </c>
      <c r="D16" s="11" t="s">
        <v>1148</v>
      </c>
      <c r="E16" s="11" t="s">
        <v>1149</v>
      </c>
      <c r="F16" s="11" t="s">
        <v>922</v>
      </c>
      <c r="G16" s="11" t="s">
        <v>382</v>
      </c>
      <c r="H16" s="11" t="b">
        <v>1</v>
      </c>
      <c r="J16" s="11" t="s">
        <v>411</v>
      </c>
      <c r="K16" s="11" t="s">
        <v>1150</v>
      </c>
      <c r="L16" s="11" t="s">
        <v>1141</v>
      </c>
      <c r="M16" s="11">
        <v>1.0</v>
      </c>
      <c r="N16" s="11" t="b">
        <v>1</v>
      </c>
      <c r="O16" s="11" t="s">
        <v>1151</v>
      </c>
    </row>
    <row r="17">
      <c r="A17" s="11" t="s">
        <v>1061</v>
      </c>
      <c r="B17" s="11" t="s">
        <v>510</v>
      </c>
      <c r="C17" s="11" t="s">
        <v>548</v>
      </c>
      <c r="D17" s="11" t="s">
        <v>549</v>
      </c>
      <c r="E17" s="11" t="s">
        <v>1149</v>
      </c>
      <c r="F17" s="11" t="s">
        <v>922</v>
      </c>
      <c r="G17" s="11" t="s">
        <v>382</v>
      </c>
      <c r="H17" s="11" t="b">
        <v>0</v>
      </c>
      <c r="J17" s="11" t="s">
        <v>411</v>
      </c>
      <c r="K17" s="11" t="s">
        <v>1150</v>
      </c>
      <c r="M17" s="11">
        <v>2.0</v>
      </c>
      <c r="N17" s="11" t="b">
        <v>1</v>
      </c>
    </row>
    <row r="18">
      <c r="A18" s="11" t="s">
        <v>1061</v>
      </c>
      <c r="B18" s="11" t="s">
        <v>510</v>
      </c>
      <c r="C18" s="11" t="s">
        <v>550</v>
      </c>
      <c r="D18" s="11" t="s">
        <v>551</v>
      </c>
      <c r="E18" s="11" t="s">
        <v>1131</v>
      </c>
      <c r="F18" s="11" t="s">
        <v>922</v>
      </c>
      <c r="G18" s="11" t="s">
        <v>382</v>
      </c>
      <c r="H18" s="11" t="b">
        <v>1</v>
      </c>
      <c r="I18" s="11" t="s">
        <v>552</v>
      </c>
      <c r="J18" s="11" t="s">
        <v>411</v>
      </c>
      <c r="K18" s="11" t="s">
        <v>1150</v>
      </c>
      <c r="M18" s="11">
        <v>3.0</v>
      </c>
      <c r="N18" s="11" t="b">
        <v>1</v>
      </c>
    </row>
    <row r="19">
      <c r="A19" s="11" t="s">
        <v>1061</v>
      </c>
      <c r="B19" s="11" t="s">
        <v>510</v>
      </c>
      <c r="C19" s="11" t="s">
        <v>553</v>
      </c>
      <c r="D19" s="11" t="s">
        <v>554</v>
      </c>
      <c r="E19" s="11" t="s">
        <v>261</v>
      </c>
      <c r="F19" s="11" t="s">
        <v>922</v>
      </c>
      <c r="G19" s="11" t="s">
        <v>382</v>
      </c>
      <c r="H19" s="11" t="b">
        <v>1</v>
      </c>
      <c r="J19" s="11" t="s">
        <v>411</v>
      </c>
      <c r="K19" s="11" t="s">
        <v>1150</v>
      </c>
      <c r="L19" s="11" t="s">
        <v>1152</v>
      </c>
      <c r="M19" s="11">
        <v>4.0</v>
      </c>
      <c r="N19" s="11" t="b">
        <v>1</v>
      </c>
    </row>
    <row r="20">
      <c r="A20" s="11" t="s">
        <v>1061</v>
      </c>
      <c r="B20" s="11" t="s">
        <v>510</v>
      </c>
      <c r="C20" s="11" t="s">
        <v>555</v>
      </c>
      <c r="D20" s="11" t="s">
        <v>556</v>
      </c>
      <c r="E20" s="11" t="s">
        <v>1153</v>
      </c>
      <c r="F20" s="11" t="s">
        <v>922</v>
      </c>
      <c r="G20" s="11" t="s">
        <v>382</v>
      </c>
      <c r="H20" s="11" t="b">
        <v>1</v>
      </c>
      <c r="J20" s="11" t="s">
        <v>411</v>
      </c>
      <c r="K20" s="11" t="s">
        <v>1150</v>
      </c>
      <c r="M20" s="11">
        <v>5.0</v>
      </c>
      <c r="N20" s="11" t="b">
        <v>1</v>
      </c>
    </row>
    <row r="21">
      <c r="A21" s="11" t="s">
        <v>1061</v>
      </c>
      <c r="B21" s="11" t="s">
        <v>879</v>
      </c>
      <c r="C21" s="11" t="s">
        <v>540</v>
      </c>
      <c r="D21" s="11" t="s">
        <v>1154</v>
      </c>
      <c r="E21" s="11" t="s">
        <v>1149</v>
      </c>
      <c r="F21" s="11" t="s">
        <v>922</v>
      </c>
      <c r="G21" s="11" t="s">
        <v>382</v>
      </c>
      <c r="H21" s="11" t="b">
        <v>0</v>
      </c>
      <c r="J21" s="11" t="s">
        <v>411</v>
      </c>
      <c r="K21" s="11" t="s">
        <v>1155</v>
      </c>
      <c r="L21" s="11" t="s">
        <v>1156</v>
      </c>
      <c r="M21" s="11">
        <v>10.0</v>
      </c>
      <c r="N21" s="11" t="b">
        <v>1</v>
      </c>
    </row>
    <row r="22">
      <c r="A22" s="11" t="s">
        <v>1157</v>
      </c>
      <c r="B22" s="11" t="s">
        <v>1158</v>
      </c>
      <c r="C22" s="11" t="s">
        <v>730</v>
      </c>
      <c r="D22" s="11" t="s">
        <v>731</v>
      </c>
      <c r="E22" s="11" t="s">
        <v>1159</v>
      </c>
      <c r="F22" s="11" t="s">
        <v>922</v>
      </c>
      <c r="G22" s="11" t="s">
        <v>439</v>
      </c>
      <c r="H22" s="11" t="b">
        <v>1</v>
      </c>
      <c r="I22" s="11" t="s">
        <v>732</v>
      </c>
      <c r="J22" s="11" t="s">
        <v>434</v>
      </c>
      <c r="K22" s="11" t="s">
        <v>1160</v>
      </c>
      <c r="M22" s="11">
        <v>1.0</v>
      </c>
      <c r="N22" s="11" t="b">
        <v>1</v>
      </c>
    </row>
    <row r="23">
      <c r="A23" s="11" t="s">
        <v>1157</v>
      </c>
      <c r="B23" s="11" t="s">
        <v>1158</v>
      </c>
      <c r="C23" s="11" t="s">
        <v>542</v>
      </c>
      <c r="D23" s="11" t="s">
        <v>543</v>
      </c>
      <c r="E23" s="11" t="s">
        <v>1149</v>
      </c>
      <c r="F23" s="11" t="s">
        <v>922</v>
      </c>
      <c r="G23" s="11" t="s">
        <v>382</v>
      </c>
      <c r="H23" s="11" t="b">
        <v>1</v>
      </c>
      <c r="J23" s="11" t="s">
        <v>434</v>
      </c>
      <c r="K23" s="11" t="s">
        <v>1160</v>
      </c>
      <c r="L23" s="11" t="s">
        <v>1119</v>
      </c>
      <c r="M23" s="11">
        <v>2.0</v>
      </c>
      <c r="N23" s="11" t="b">
        <v>1</v>
      </c>
    </row>
    <row r="24">
      <c r="A24" s="11" t="s">
        <v>852</v>
      </c>
      <c r="B24" s="11" t="s">
        <v>510</v>
      </c>
      <c r="C24" s="11" t="s">
        <v>563</v>
      </c>
      <c r="D24" s="11" t="s">
        <v>564</v>
      </c>
      <c r="E24" s="11" t="s">
        <v>1159</v>
      </c>
      <c r="F24" s="11" t="s">
        <v>922</v>
      </c>
      <c r="G24" s="11" t="s">
        <v>391</v>
      </c>
      <c r="H24" s="11" t="b">
        <v>0</v>
      </c>
      <c r="I24" s="11" t="s">
        <v>642</v>
      </c>
      <c r="J24" s="11" t="s">
        <v>395</v>
      </c>
      <c r="K24" s="11" t="s">
        <v>1075</v>
      </c>
      <c r="M24" s="11">
        <v>1.0</v>
      </c>
      <c r="N24" s="11" t="b">
        <v>1</v>
      </c>
    </row>
    <row r="25">
      <c r="A25" s="11" t="s">
        <v>852</v>
      </c>
      <c r="B25" s="11" t="s">
        <v>510</v>
      </c>
      <c r="C25" s="11" t="s">
        <v>565</v>
      </c>
      <c r="D25" s="11" t="s">
        <v>566</v>
      </c>
      <c r="E25" s="11" t="s">
        <v>1149</v>
      </c>
      <c r="F25" s="11" t="s">
        <v>922</v>
      </c>
      <c r="G25" s="11" t="s">
        <v>391</v>
      </c>
      <c r="H25" s="11" t="b">
        <v>1</v>
      </c>
      <c r="J25" s="11" t="s">
        <v>395</v>
      </c>
      <c r="K25" s="11" t="s">
        <v>1075</v>
      </c>
      <c r="L25" s="11" t="s">
        <v>1161</v>
      </c>
      <c r="M25" s="11">
        <v>2.0</v>
      </c>
      <c r="N25" s="11" t="b">
        <v>1</v>
      </c>
    </row>
    <row r="26">
      <c r="A26" s="11" t="s">
        <v>852</v>
      </c>
      <c r="B26" s="11" t="s">
        <v>510</v>
      </c>
      <c r="C26" s="11" t="s">
        <v>567</v>
      </c>
      <c r="D26" s="11" t="s">
        <v>568</v>
      </c>
      <c r="E26" s="11" t="s">
        <v>1149</v>
      </c>
      <c r="F26" s="11" t="s">
        <v>922</v>
      </c>
      <c r="G26" s="11" t="s">
        <v>391</v>
      </c>
      <c r="H26" s="11" t="b">
        <v>0</v>
      </c>
      <c r="J26" s="11" t="s">
        <v>395</v>
      </c>
      <c r="K26" s="11" t="s">
        <v>1075</v>
      </c>
      <c r="M26" s="11">
        <v>3.0</v>
      </c>
      <c r="N26" s="11" t="b">
        <v>1</v>
      </c>
    </row>
    <row r="27">
      <c r="A27" s="11" t="s">
        <v>852</v>
      </c>
      <c r="B27" s="11" t="s">
        <v>510</v>
      </c>
      <c r="C27" s="11" t="s">
        <v>569</v>
      </c>
      <c r="D27" s="11" t="s">
        <v>570</v>
      </c>
      <c r="E27" s="11" t="s">
        <v>1149</v>
      </c>
      <c r="F27" s="11" t="s">
        <v>922</v>
      </c>
      <c r="G27" s="11" t="s">
        <v>391</v>
      </c>
      <c r="H27" s="11" t="b">
        <v>0</v>
      </c>
      <c r="J27" s="11" t="s">
        <v>395</v>
      </c>
      <c r="K27" s="11" t="s">
        <v>1075</v>
      </c>
      <c r="M27" s="11">
        <v>4.0</v>
      </c>
      <c r="N27" s="11" t="b">
        <v>1</v>
      </c>
    </row>
    <row r="28">
      <c r="A28" s="11" t="s">
        <v>852</v>
      </c>
      <c r="B28" s="11" t="s">
        <v>262</v>
      </c>
      <c r="C28" s="11" t="s">
        <v>1162</v>
      </c>
      <c r="D28" s="11" t="s">
        <v>1163</v>
      </c>
      <c r="E28" s="11" t="s">
        <v>1164</v>
      </c>
      <c r="F28" s="11" t="s">
        <v>922</v>
      </c>
      <c r="G28" s="11" t="s">
        <v>399</v>
      </c>
      <c r="H28" s="11" t="b">
        <v>0</v>
      </c>
      <c r="I28" s="11" t="s">
        <v>592</v>
      </c>
      <c r="J28" s="11" t="s">
        <v>395</v>
      </c>
      <c r="K28" s="11" t="s">
        <v>1075</v>
      </c>
      <c r="L28" s="11" t="s">
        <v>1165</v>
      </c>
      <c r="M28" s="11">
        <v>10.0</v>
      </c>
      <c r="N28" s="11" t="b">
        <v>1</v>
      </c>
      <c r="O28" s="11" t="s">
        <v>1166</v>
      </c>
    </row>
    <row r="29">
      <c r="A29" s="11" t="s">
        <v>406</v>
      </c>
      <c r="B29" s="11" t="s">
        <v>1167</v>
      </c>
      <c r="C29" s="11" t="s">
        <v>630</v>
      </c>
      <c r="D29" s="11" t="s">
        <v>1168</v>
      </c>
      <c r="E29" s="11" t="s">
        <v>1149</v>
      </c>
      <c r="F29" s="11" t="s">
        <v>922</v>
      </c>
      <c r="G29" s="11" t="s">
        <v>407</v>
      </c>
      <c r="H29" s="11" t="b">
        <v>0</v>
      </c>
      <c r="J29" s="11" t="s">
        <v>411</v>
      </c>
      <c r="K29" s="11" t="s">
        <v>1083</v>
      </c>
      <c r="M29" s="11">
        <v>1.0</v>
      </c>
      <c r="N29" s="11" t="b">
        <v>1</v>
      </c>
    </row>
    <row r="30">
      <c r="A30" s="11" t="s">
        <v>406</v>
      </c>
      <c r="B30" s="11" t="s">
        <v>1167</v>
      </c>
      <c r="C30" s="11" t="s">
        <v>634</v>
      </c>
      <c r="D30" s="11" t="s">
        <v>635</v>
      </c>
      <c r="E30" s="11" t="s">
        <v>1149</v>
      </c>
      <c r="F30" s="11" t="s">
        <v>922</v>
      </c>
      <c r="G30" s="11" t="s">
        <v>407</v>
      </c>
      <c r="H30" s="11" t="b">
        <v>1</v>
      </c>
      <c r="J30" s="11" t="s">
        <v>411</v>
      </c>
      <c r="K30" s="11" t="s">
        <v>1083</v>
      </c>
      <c r="L30" s="11" t="s">
        <v>1141</v>
      </c>
      <c r="M30" s="11">
        <v>2.0</v>
      </c>
      <c r="N30" s="11" t="b">
        <v>1</v>
      </c>
    </row>
    <row r="31">
      <c r="A31" s="11" t="s">
        <v>406</v>
      </c>
      <c r="B31" s="11" t="s">
        <v>1167</v>
      </c>
      <c r="C31" s="11" t="s">
        <v>636</v>
      </c>
      <c r="D31" s="11" t="s">
        <v>637</v>
      </c>
      <c r="E31" s="11" t="s">
        <v>1149</v>
      </c>
      <c r="F31" s="11" t="s">
        <v>922</v>
      </c>
      <c r="G31" s="11" t="s">
        <v>407</v>
      </c>
      <c r="H31" s="11" t="b">
        <v>1</v>
      </c>
      <c r="J31" s="11" t="s">
        <v>411</v>
      </c>
      <c r="K31" s="11" t="s">
        <v>1083</v>
      </c>
      <c r="L31" s="11" t="s">
        <v>1161</v>
      </c>
      <c r="M31" s="11">
        <v>3.0</v>
      </c>
      <c r="N31" s="11" t="b">
        <v>1</v>
      </c>
    </row>
    <row r="32">
      <c r="A32" s="11" t="s">
        <v>406</v>
      </c>
      <c r="B32" s="11" t="s">
        <v>1169</v>
      </c>
      <c r="C32" s="11" t="s">
        <v>487</v>
      </c>
      <c r="D32" s="11" t="s">
        <v>638</v>
      </c>
      <c r="E32" s="11" t="s">
        <v>1131</v>
      </c>
      <c r="F32" s="11" t="s">
        <v>922</v>
      </c>
      <c r="G32" s="11" t="s">
        <v>407</v>
      </c>
      <c r="H32" s="11" t="b">
        <v>1</v>
      </c>
      <c r="I32" s="11" t="s">
        <v>639</v>
      </c>
      <c r="J32" s="11" t="s">
        <v>411</v>
      </c>
      <c r="K32" s="11" t="s">
        <v>1083</v>
      </c>
      <c r="M32" s="11">
        <v>10.0</v>
      </c>
      <c r="N32" s="11" t="b">
        <v>1</v>
      </c>
    </row>
    <row r="33">
      <c r="A33" s="11" t="s">
        <v>406</v>
      </c>
      <c r="B33" s="11" t="s">
        <v>1169</v>
      </c>
      <c r="C33" s="11" t="s">
        <v>640</v>
      </c>
      <c r="D33" s="11" t="s">
        <v>641</v>
      </c>
      <c r="E33" s="11" t="s">
        <v>261</v>
      </c>
      <c r="F33" s="11" t="s">
        <v>922</v>
      </c>
      <c r="G33" s="11" t="s">
        <v>407</v>
      </c>
      <c r="H33" s="11" t="b">
        <v>0</v>
      </c>
      <c r="I33" s="11" t="s">
        <v>642</v>
      </c>
      <c r="J33" s="11" t="s">
        <v>411</v>
      </c>
      <c r="K33" s="11" t="s">
        <v>1083</v>
      </c>
      <c r="L33" s="11" t="s">
        <v>1170</v>
      </c>
      <c r="M33" s="11">
        <v>11.0</v>
      </c>
      <c r="N33" s="11" t="b">
        <v>1</v>
      </c>
    </row>
    <row r="34">
      <c r="A34" s="11" t="s">
        <v>416</v>
      </c>
      <c r="B34" s="11" t="s">
        <v>1171</v>
      </c>
      <c r="C34" s="11" t="s">
        <v>651</v>
      </c>
      <c r="D34" s="11" t="s">
        <v>652</v>
      </c>
      <c r="E34" s="11" t="s">
        <v>1149</v>
      </c>
      <c r="F34" s="11" t="s">
        <v>922</v>
      </c>
      <c r="G34" s="11" t="s">
        <v>417</v>
      </c>
      <c r="H34" s="11" t="b">
        <v>1</v>
      </c>
      <c r="J34" s="11" t="s">
        <v>411</v>
      </c>
      <c r="L34" s="11" t="s">
        <v>1141</v>
      </c>
      <c r="M34" s="11">
        <v>1.0</v>
      </c>
      <c r="N34" s="11" t="b">
        <v>1</v>
      </c>
      <c r="O34" s="11" t="s">
        <v>521</v>
      </c>
    </row>
    <row r="35">
      <c r="A35" s="11" t="s">
        <v>416</v>
      </c>
      <c r="B35" s="11" t="s">
        <v>1171</v>
      </c>
      <c r="C35" s="11" t="s">
        <v>653</v>
      </c>
      <c r="D35" s="11" t="s">
        <v>654</v>
      </c>
      <c r="E35" s="11" t="s">
        <v>216</v>
      </c>
      <c r="F35" s="11" t="s">
        <v>922</v>
      </c>
      <c r="G35" s="11" t="s">
        <v>417</v>
      </c>
      <c r="H35" s="11" t="b">
        <v>1</v>
      </c>
      <c r="I35" s="11" t="s">
        <v>655</v>
      </c>
      <c r="J35" s="11" t="s">
        <v>411</v>
      </c>
      <c r="M35" s="11">
        <v>2.0</v>
      </c>
      <c r="N35" s="11" t="b">
        <v>1</v>
      </c>
    </row>
    <row r="36">
      <c r="A36" s="11" t="s">
        <v>416</v>
      </c>
      <c r="B36" s="11" t="s">
        <v>1117</v>
      </c>
      <c r="C36" s="11" t="s">
        <v>648</v>
      </c>
      <c r="D36" s="11" t="s">
        <v>649</v>
      </c>
      <c r="E36" s="11" t="s">
        <v>1131</v>
      </c>
      <c r="F36" s="11" t="s">
        <v>922</v>
      </c>
      <c r="G36" s="11" t="s">
        <v>417</v>
      </c>
      <c r="H36" s="11" t="b">
        <v>1</v>
      </c>
      <c r="I36" s="11" t="s">
        <v>650</v>
      </c>
      <c r="J36" s="11" t="s">
        <v>411</v>
      </c>
      <c r="M36" s="11">
        <v>3.0</v>
      </c>
      <c r="N36" s="11" t="b">
        <v>1</v>
      </c>
    </row>
    <row r="37">
      <c r="A37" s="11" t="s">
        <v>416</v>
      </c>
      <c r="B37" s="11" t="s">
        <v>1117</v>
      </c>
      <c r="C37" s="11" t="s">
        <v>656</v>
      </c>
      <c r="D37" s="11" t="s">
        <v>657</v>
      </c>
      <c r="E37" s="11" t="s">
        <v>1149</v>
      </c>
      <c r="F37" s="11" t="s">
        <v>922</v>
      </c>
      <c r="G37" s="11" t="s">
        <v>417</v>
      </c>
      <c r="H37" s="11" t="b">
        <v>1</v>
      </c>
      <c r="J37" s="11" t="s">
        <v>411</v>
      </c>
      <c r="L37" s="11" t="s">
        <v>1141</v>
      </c>
      <c r="M37" s="11">
        <v>4.0</v>
      </c>
      <c r="N37" s="11" t="b">
        <v>1</v>
      </c>
    </row>
    <row r="38">
      <c r="A38" s="11" t="s">
        <v>416</v>
      </c>
      <c r="B38" s="11" t="s">
        <v>1117</v>
      </c>
      <c r="C38" s="11" t="s">
        <v>634</v>
      </c>
      <c r="D38" s="11" t="s">
        <v>635</v>
      </c>
      <c r="E38" s="11" t="s">
        <v>1149</v>
      </c>
      <c r="F38" s="11" t="s">
        <v>922</v>
      </c>
      <c r="G38" s="11" t="s">
        <v>417</v>
      </c>
      <c r="H38" s="11" t="b">
        <v>1</v>
      </c>
      <c r="J38" s="11" t="s">
        <v>411</v>
      </c>
      <c r="L38" s="11" t="s">
        <v>1141</v>
      </c>
      <c r="M38" s="11">
        <v>5.0</v>
      </c>
      <c r="N38" s="11" t="b">
        <v>1</v>
      </c>
    </row>
    <row r="39">
      <c r="A39" s="11" t="s">
        <v>416</v>
      </c>
      <c r="B39" s="11" t="s">
        <v>1117</v>
      </c>
      <c r="C39" s="11" t="s">
        <v>658</v>
      </c>
      <c r="D39" s="11" t="s">
        <v>659</v>
      </c>
      <c r="E39" s="11" t="s">
        <v>1149</v>
      </c>
      <c r="F39" s="11" t="s">
        <v>922</v>
      </c>
      <c r="G39" s="11" t="s">
        <v>417</v>
      </c>
      <c r="H39" s="11" t="b">
        <v>1</v>
      </c>
      <c r="J39" s="11" t="s">
        <v>411</v>
      </c>
      <c r="L39" s="11" t="s">
        <v>1141</v>
      </c>
      <c r="M39" s="11">
        <v>6.0</v>
      </c>
      <c r="N39" s="11" t="b">
        <v>1</v>
      </c>
    </row>
    <row r="40">
      <c r="A40" s="11" t="s">
        <v>416</v>
      </c>
      <c r="B40" s="11" t="s">
        <v>1117</v>
      </c>
      <c r="C40" s="11" t="s">
        <v>660</v>
      </c>
      <c r="D40" s="11" t="s">
        <v>661</v>
      </c>
      <c r="E40" s="11" t="s">
        <v>1149</v>
      </c>
      <c r="F40" s="11" t="s">
        <v>922</v>
      </c>
      <c r="G40" s="11" t="s">
        <v>417</v>
      </c>
      <c r="H40" s="11" t="b">
        <v>0</v>
      </c>
      <c r="J40" s="11" t="s">
        <v>411</v>
      </c>
      <c r="M40" s="11">
        <v>7.0</v>
      </c>
      <c r="N40" s="11" t="b">
        <v>1</v>
      </c>
    </row>
    <row r="41">
      <c r="A41" s="11" t="s">
        <v>416</v>
      </c>
      <c r="B41" s="11" t="s">
        <v>1172</v>
      </c>
      <c r="C41" s="11" t="s">
        <v>665</v>
      </c>
      <c r="D41" s="11" t="s">
        <v>666</v>
      </c>
      <c r="E41" s="11" t="s">
        <v>1131</v>
      </c>
      <c r="F41" s="11" t="s">
        <v>922</v>
      </c>
      <c r="G41" s="11" t="s">
        <v>417</v>
      </c>
      <c r="H41" s="11" t="b">
        <v>1</v>
      </c>
      <c r="I41" s="11" t="s">
        <v>668</v>
      </c>
      <c r="J41" s="11" t="s">
        <v>667</v>
      </c>
      <c r="M41" s="11">
        <v>10.0</v>
      </c>
      <c r="N41" s="11" t="b">
        <v>1</v>
      </c>
    </row>
    <row r="42">
      <c r="A42" s="11" t="s">
        <v>416</v>
      </c>
      <c r="B42" s="11" t="s">
        <v>1172</v>
      </c>
      <c r="C42" s="11" t="s">
        <v>669</v>
      </c>
      <c r="D42" s="11" t="s">
        <v>670</v>
      </c>
      <c r="E42" s="11" t="s">
        <v>494</v>
      </c>
      <c r="F42" s="11" t="s">
        <v>922</v>
      </c>
      <c r="G42" s="11" t="s">
        <v>417</v>
      </c>
      <c r="H42" s="11" t="b">
        <v>1</v>
      </c>
      <c r="J42" s="11" t="s">
        <v>667</v>
      </c>
      <c r="M42" s="11">
        <v>11.0</v>
      </c>
      <c r="N42" s="11" t="b">
        <v>1</v>
      </c>
    </row>
    <row r="43">
      <c r="A43" s="11" t="s">
        <v>423</v>
      </c>
      <c r="B43" s="11" t="s">
        <v>1173</v>
      </c>
      <c r="C43" s="11" t="s">
        <v>679</v>
      </c>
      <c r="D43" s="11" t="s">
        <v>680</v>
      </c>
      <c r="E43" s="11" t="s">
        <v>1131</v>
      </c>
      <c r="F43" s="11" t="s">
        <v>922</v>
      </c>
      <c r="G43" s="11" t="s">
        <v>424</v>
      </c>
      <c r="H43" s="11" t="b">
        <v>1</v>
      </c>
      <c r="I43" s="11" t="s">
        <v>681</v>
      </c>
      <c r="J43" s="11" t="s">
        <v>395</v>
      </c>
      <c r="M43" s="11">
        <v>1.0</v>
      </c>
      <c r="N43" s="11" t="b">
        <v>1</v>
      </c>
    </row>
    <row r="44">
      <c r="A44" s="11" t="s">
        <v>423</v>
      </c>
      <c r="B44" s="11" t="s">
        <v>1173</v>
      </c>
      <c r="C44" s="11" t="s">
        <v>682</v>
      </c>
      <c r="D44" s="11" t="s">
        <v>683</v>
      </c>
      <c r="E44" s="11" t="s">
        <v>1149</v>
      </c>
      <c r="F44" s="11" t="s">
        <v>922</v>
      </c>
      <c r="G44" s="11" t="s">
        <v>424</v>
      </c>
      <c r="H44" s="11" t="b">
        <v>1</v>
      </c>
      <c r="J44" s="11" t="s">
        <v>395</v>
      </c>
      <c r="L44" s="11" t="s">
        <v>1161</v>
      </c>
      <c r="M44" s="11">
        <v>2.0</v>
      </c>
      <c r="N44" s="11" t="b">
        <v>1</v>
      </c>
    </row>
    <row r="45">
      <c r="A45" s="11" t="s">
        <v>423</v>
      </c>
      <c r="B45" s="11" t="s">
        <v>703</v>
      </c>
      <c r="C45" s="11" t="s">
        <v>677</v>
      </c>
      <c r="D45" s="11" t="s">
        <v>678</v>
      </c>
      <c r="E45" s="11" t="s">
        <v>1149</v>
      </c>
      <c r="F45" s="11" t="s">
        <v>922</v>
      </c>
      <c r="G45" s="11" t="s">
        <v>424</v>
      </c>
      <c r="H45" s="11" t="b">
        <v>0</v>
      </c>
      <c r="J45" s="11" t="s">
        <v>395</v>
      </c>
      <c r="M45" s="11">
        <v>10.0</v>
      </c>
      <c r="N45" s="11" t="b">
        <v>1</v>
      </c>
    </row>
    <row r="46">
      <c r="A46" s="11" t="s">
        <v>423</v>
      </c>
      <c r="B46" s="11" t="s">
        <v>703</v>
      </c>
      <c r="C46" s="11" t="s">
        <v>684</v>
      </c>
      <c r="D46" s="11" t="s">
        <v>685</v>
      </c>
      <c r="E46" s="11" t="s">
        <v>1149</v>
      </c>
      <c r="F46" s="11" t="s">
        <v>922</v>
      </c>
      <c r="G46" s="11" t="s">
        <v>424</v>
      </c>
      <c r="H46" s="11" t="b">
        <v>1</v>
      </c>
      <c r="J46" s="11" t="s">
        <v>395</v>
      </c>
      <c r="L46" s="11" t="s">
        <v>1161</v>
      </c>
      <c r="M46" s="11">
        <v>11.0</v>
      </c>
      <c r="N46" s="11" t="b">
        <v>1</v>
      </c>
    </row>
    <row r="47">
      <c r="A47" s="11" t="s">
        <v>423</v>
      </c>
      <c r="B47" s="11" t="s">
        <v>703</v>
      </c>
      <c r="C47" s="11" t="s">
        <v>686</v>
      </c>
      <c r="D47" s="11" t="s">
        <v>687</v>
      </c>
      <c r="E47" s="11" t="s">
        <v>1149</v>
      </c>
      <c r="F47" s="11" t="s">
        <v>922</v>
      </c>
      <c r="G47" s="11" t="s">
        <v>424</v>
      </c>
      <c r="H47" s="11" t="b">
        <v>1</v>
      </c>
      <c r="J47" s="11" t="s">
        <v>395</v>
      </c>
      <c r="L47" s="11" t="s">
        <v>1141</v>
      </c>
      <c r="M47" s="11">
        <v>12.0</v>
      </c>
      <c r="N47" s="11" t="b">
        <v>1</v>
      </c>
    </row>
    <row r="48">
      <c r="A48" s="11" t="s">
        <v>423</v>
      </c>
      <c r="B48" s="11" t="s">
        <v>703</v>
      </c>
      <c r="C48" s="11" t="s">
        <v>688</v>
      </c>
      <c r="D48" s="11" t="s">
        <v>689</v>
      </c>
      <c r="E48" s="11" t="s">
        <v>1131</v>
      </c>
      <c r="F48" s="11" t="s">
        <v>922</v>
      </c>
      <c r="G48" s="11" t="s">
        <v>424</v>
      </c>
      <c r="H48" s="11" t="b">
        <v>1</v>
      </c>
      <c r="I48" s="11" t="s">
        <v>668</v>
      </c>
      <c r="J48" s="11" t="s">
        <v>395</v>
      </c>
      <c r="M48" s="11">
        <v>13.0</v>
      </c>
      <c r="N48" s="11" t="b">
        <v>1</v>
      </c>
    </row>
    <row r="49">
      <c r="A49" s="11" t="s">
        <v>423</v>
      </c>
      <c r="B49" s="11" t="s">
        <v>703</v>
      </c>
      <c r="C49" s="11" t="s">
        <v>690</v>
      </c>
      <c r="D49" s="11" t="s">
        <v>691</v>
      </c>
      <c r="E49" s="11" t="s">
        <v>494</v>
      </c>
      <c r="F49" s="11" t="s">
        <v>922</v>
      </c>
      <c r="G49" s="11" t="s">
        <v>424</v>
      </c>
      <c r="H49" s="11" t="b">
        <v>1</v>
      </c>
      <c r="J49" s="11" t="s">
        <v>395</v>
      </c>
      <c r="M49" s="11">
        <v>14.0</v>
      </c>
      <c r="N49" s="11" t="b">
        <v>1</v>
      </c>
    </row>
    <row r="50">
      <c r="A50" s="11" t="s">
        <v>423</v>
      </c>
      <c r="B50" s="11" t="s">
        <v>1174</v>
      </c>
      <c r="C50" s="11" t="s">
        <v>692</v>
      </c>
      <c r="D50" s="11" t="s">
        <v>693</v>
      </c>
      <c r="E50" s="11" t="s">
        <v>261</v>
      </c>
      <c r="F50" s="11" t="s">
        <v>922</v>
      </c>
      <c r="G50" s="11" t="s">
        <v>424</v>
      </c>
      <c r="H50" s="11" t="b">
        <v>1</v>
      </c>
      <c r="J50" s="11" t="s">
        <v>395</v>
      </c>
      <c r="L50" s="11" t="s">
        <v>1175</v>
      </c>
      <c r="M50" s="11">
        <v>20.0</v>
      </c>
      <c r="N50" s="11" t="b">
        <v>1</v>
      </c>
    </row>
    <row r="51">
      <c r="A51" s="11" t="s">
        <v>423</v>
      </c>
      <c r="B51" s="11" t="s">
        <v>1174</v>
      </c>
      <c r="C51" s="11" t="s">
        <v>694</v>
      </c>
      <c r="D51" s="11" t="s">
        <v>695</v>
      </c>
      <c r="E51" s="11" t="s">
        <v>1149</v>
      </c>
      <c r="F51" s="11" t="s">
        <v>922</v>
      </c>
      <c r="G51" s="11" t="s">
        <v>424</v>
      </c>
      <c r="H51" s="11" t="b">
        <v>1</v>
      </c>
      <c r="J51" s="11" t="s">
        <v>395</v>
      </c>
      <c r="L51" s="11" t="s">
        <v>1141</v>
      </c>
      <c r="M51" s="11">
        <v>21.0</v>
      </c>
      <c r="N51" s="11" t="b">
        <v>1</v>
      </c>
    </row>
    <row r="52">
      <c r="A52" s="11" t="s">
        <v>423</v>
      </c>
      <c r="B52" s="11" t="s">
        <v>1174</v>
      </c>
      <c r="C52" s="11" t="s">
        <v>1176</v>
      </c>
      <c r="D52" s="11" t="s">
        <v>697</v>
      </c>
      <c r="E52" s="11" t="s">
        <v>1164</v>
      </c>
      <c r="F52" s="11" t="s">
        <v>922</v>
      </c>
      <c r="G52" s="11" t="s">
        <v>399</v>
      </c>
      <c r="H52" s="11" t="b">
        <v>0</v>
      </c>
      <c r="I52" s="11" t="s">
        <v>592</v>
      </c>
      <c r="J52" s="11" t="s">
        <v>395</v>
      </c>
      <c r="L52" s="11" t="s">
        <v>1177</v>
      </c>
      <c r="M52" s="11">
        <v>22.0</v>
      </c>
      <c r="N52" s="11" t="b">
        <v>1</v>
      </c>
    </row>
    <row r="53">
      <c r="A53" s="11" t="s">
        <v>429</v>
      </c>
      <c r="B53" s="11" t="s">
        <v>1117</v>
      </c>
      <c r="C53" s="11" t="s">
        <v>708</v>
      </c>
      <c r="D53" s="11" t="s">
        <v>709</v>
      </c>
      <c r="E53" s="11" t="s">
        <v>1149</v>
      </c>
      <c r="F53" s="11" t="s">
        <v>922</v>
      </c>
      <c r="G53" s="11" t="s">
        <v>430</v>
      </c>
      <c r="H53" s="11" t="b">
        <v>1</v>
      </c>
      <c r="J53" s="11" t="s">
        <v>544</v>
      </c>
      <c r="L53" s="11" t="s">
        <v>1161</v>
      </c>
      <c r="M53" s="11">
        <v>1.0</v>
      </c>
      <c r="N53" s="11" t="b">
        <v>1</v>
      </c>
    </row>
    <row r="54">
      <c r="A54" s="11" t="s">
        <v>429</v>
      </c>
      <c r="B54" s="11" t="s">
        <v>1117</v>
      </c>
      <c r="C54" s="11" t="s">
        <v>710</v>
      </c>
      <c r="D54" s="11" t="s">
        <v>711</v>
      </c>
      <c r="E54" s="11" t="s">
        <v>1149</v>
      </c>
      <c r="F54" s="11" t="s">
        <v>922</v>
      </c>
      <c r="G54" s="11" t="s">
        <v>430</v>
      </c>
      <c r="H54" s="11" t="b">
        <v>1</v>
      </c>
      <c r="J54" s="11" t="s">
        <v>544</v>
      </c>
      <c r="L54" s="11" t="s">
        <v>1161</v>
      </c>
      <c r="M54" s="11">
        <v>2.0</v>
      </c>
      <c r="N54" s="11" t="b">
        <v>1</v>
      </c>
    </row>
    <row r="55">
      <c r="A55" s="11" t="s">
        <v>429</v>
      </c>
      <c r="B55" s="11" t="s">
        <v>1117</v>
      </c>
      <c r="C55" s="11" t="s">
        <v>712</v>
      </c>
      <c r="D55" s="11" t="s">
        <v>713</v>
      </c>
      <c r="E55" s="11" t="s">
        <v>1131</v>
      </c>
      <c r="F55" s="11" t="s">
        <v>922</v>
      </c>
      <c r="G55" s="11" t="s">
        <v>430</v>
      </c>
      <c r="H55" s="11" t="b">
        <v>1</v>
      </c>
      <c r="I55" s="11" t="s">
        <v>714</v>
      </c>
      <c r="J55" s="11" t="s">
        <v>544</v>
      </c>
      <c r="M55" s="11">
        <v>3.0</v>
      </c>
      <c r="N55" s="11" t="b">
        <v>1</v>
      </c>
    </row>
    <row r="56">
      <c r="A56" s="11" t="s">
        <v>429</v>
      </c>
      <c r="B56" s="11" t="s">
        <v>1117</v>
      </c>
      <c r="C56" s="11" t="s">
        <v>715</v>
      </c>
      <c r="D56" s="11" t="s">
        <v>716</v>
      </c>
      <c r="E56" s="11" t="s">
        <v>494</v>
      </c>
      <c r="F56" s="11" t="s">
        <v>922</v>
      </c>
      <c r="G56" s="11" t="s">
        <v>430</v>
      </c>
      <c r="H56" s="11" t="b">
        <v>0</v>
      </c>
      <c r="J56" s="11" t="s">
        <v>544</v>
      </c>
      <c r="K56" s="11" t="s">
        <v>1178</v>
      </c>
      <c r="M56" s="11">
        <v>4.0</v>
      </c>
      <c r="N56" s="11" t="b">
        <v>1</v>
      </c>
    </row>
    <row r="57">
      <c r="A57" s="11" t="s">
        <v>1179</v>
      </c>
      <c r="B57" s="11" t="s">
        <v>1117</v>
      </c>
      <c r="C57" s="11" t="s">
        <v>772</v>
      </c>
      <c r="D57" s="11" t="s">
        <v>1180</v>
      </c>
      <c r="E57" s="11" t="s">
        <v>1131</v>
      </c>
      <c r="F57" s="11" t="s">
        <v>922</v>
      </c>
      <c r="G57" s="11" t="s">
        <v>457</v>
      </c>
      <c r="H57" s="11" t="b">
        <v>1</v>
      </c>
      <c r="I57" s="11" t="s">
        <v>775</v>
      </c>
      <c r="J57" s="11" t="s">
        <v>1181</v>
      </c>
      <c r="M57" s="11">
        <v>1.0</v>
      </c>
      <c r="N57" s="11" t="b">
        <v>1</v>
      </c>
    </row>
    <row r="58">
      <c r="A58" s="11" t="s">
        <v>1179</v>
      </c>
      <c r="B58" s="11" t="s">
        <v>1117</v>
      </c>
      <c r="C58" s="11" t="s">
        <v>777</v>
      </c>
      <c r="D58" s="11" t="s">
        <v>778</v>
      </c>
      <c r="E58" s="11" t="s">
        <v>261</v>
      </c>
      <c r="F58" s="11" t="s">
        <v>922</v>
      </c>
      <c r="G58" s="11" t="s">
        <v>457</v>
      </c>
      <c r="H58" s="11" t="b">
        <v>1</v>
      </c>
      <c r="J58" s="11" t="s">
        <v>75</v>
      </c>
      <c r="L58" s="11" t="s">
        <v>1182</v>
      </c>
      <c r="M58" s="11">
        <v>2.0</v>
      </c>
      <c r="N58" s="11" t="b">
        <v>1</v>
      </c>
    </row>
    <row r="59">
      <c r="A59" s="11" t="s">
        <v>1179</v>
      </c>
      <c r="B59" s="11" t="s">
        <v>1117</v>
      </c>
      <c r="C59" s="11" t="s">
        <v>781</v>
      </c>
      <c r="D59" s="11" t="s">
        <v>782</v>
      </c>
      <c r="E59" s="11" t="s">
        <v>1131</v>
      </c>
      <c r="F59" s="11" t="s">
        <v>922</v>
      </c>
      <c r="G59" s="11" t="s">
        <v>457</v>
      </c>
      <c r="H59" s="11" t="b">
        <v>1</v>
      </c>
      <c r="I59" s="11" t="s">
        <v>783</v>
      </c>
      <c r="J59" s="11" t="s">
        <v>1183</v>
      </c>
      <c r="M59" s="11">
        <v>3.0</v>
      </c>
      <c r="N59" s="11" t="b">
        <v>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7.63"/>
  </cols>
  <sheetData>
    <row r="1">
      <c r="A1" s="22" t="s">
        <v>1184</v>
      </c>
      <c r="B1" s="22" t="s">
        <v>1185</v>
      </c>
      <c r="C1" s="22" t="s">
        <v>121</v>
      </c>
      <c r="D1" s="22" t="s">
        <v>1186</v>
      </c>
      <c r="E1" s="22" t="s">
        <v>1187</v>
      </c>
      <c r="F1" s="22" t="s">
        <v>210</v>
      </c>
      <c r="G1" s="22" t="s">
        <v>369</v>
      </c>
    </row>
    <row r="2">
      <c r="A2" s="5" t="s">
        <v>1188</v>
      </c>
      <c r="B2" s="5" t="s">
        <v>1189</v>
      </c>
      <c r="C2" s="5" t="s">
        <v>922</v>
      </c>
      <c r="D2" s="5" t="s">
        <v>1190</v>
      </c>
      <c r="E2" s="5" t="s">
        <v>1191</v>
      </c>
      <c r="F2" s="5" t="s">
        <v>1192</v>
      </c>
      <c r="G2" s="5" t="b">
        <v>1</v>
      </c>
    </row>
    <row r="3">
      <c r="A3" s="5" t="s">
        <v>1193</v>
      </c>
      <c r="B3" s="5" t="s">
        <v>1194</v>
      </c>
      <c r="C3" s="5" t="s">
        <v>1195</v>
      </c>
      <c r="D3" s="5" t="s">
        <v>1196</v>
      </c>
      <c r="E3" s="5" t="s">
        <v>1197</v>
      </c>
      <c r="F3" s="5" t="s">
        <v>1198</v>
      </c>
      <c r="G3" s="5" t="b">
        <v>1</v>
      </c>
    </row>
    <row r="4">
      <c r="A4" s="5" t="s">
        <v>1199</v>
      </c>
      <c r="B4" s="5" t="s">
        <v>1200</v>
      </c>
      <c r="C4" s="5" t="s">
        <v>180</v>
      </c>
      <c r="D4" s="5" t="s">
        <v>1201</v>
      </c>
      <c r="E4" s="5" t="s">
        <v>1202</v>
      </c>
      <c r="F4" s="5" t="s">
        <v>1203</v>
      </c>
      <c r="G4" s="5" t="b">
        <v>1</v>
      </c>
    </row>
    <row r="5">
      <c r="A5" s="5" t="s">
        <v>1204</v>
      </c>
      <c r="B5" s="5" t="s">
        <v>1205</v>
      </c>
      <c r="C5" s="5" t="s">
        <v>852</v>
      </c>
      <c r="D5" s="5" t="s">
        <v>1206</v>
      </c>
      <c r="E5" s="5" t="s">
        <v>1207</v>
      </c>
      <c r="F5" s="5" t="s">
        <v>1208</v>
      </c>
      <c r="G5" s="5" t="b">
        <v>1</v>
      </c>
    </row>
    <row r="6">
      <c r="A6" s="9" t="s">
        <v>1209</v>
      </c>
      <c r="B6" s="9" t="s">
        <v>1210</v>
      </c>
      <c r="C6" s="9" t="s">
        <v>416</v>
      </c>
      <c r="D6" s="9" t="s">
        <v>1201</v>
      </c>
      <c r="E6" s="9" t="s">
        <v>1211</v>
      </c>
      <c r="F6" s="9" t="s">
        <v>1212</v>
      </c>
      <c r="G6" s="9" t="b">
        <v>1</v>
      </c>
    </row>
    <row r="7">
      <c r="A7" s="9" t="s">
        <v>1213</v>
      </c>
      <c r="B7" s="9" t="s">
        <v>1214</v>
      </c>
      <c r="C7" s="9" t="s">
        <v>1215</v>
      </c>
      <c r="D7" s="9" t="s">
        <v>1201</v>
      </c>
      <c r="E7" s="9" t="s">
        <v>1216</v>
      </c>
      <c r="F7" s="9" t="s">
        <v>1217</v>
      </c>
      <c r="G7" s="9" t="b">
        <v>1</v>
      </c>
    </row>
    <row r="8">
      <c r="A8" s="9" t="s">
        <v>1218</v>
      </c>
      <c r="B8" s="9" t="s">
        <v>1219</v>
      </c>
      <c r="C8" s="9" t="s">
        <v>1179</v>
      </c>
      <c r="D8" s="9" t="s">
        <v>1201</v>
      </c>
      <c r="E8" s="9" t="s">
        <v>1220</v>
      </c>
      <c r="F8" s="9" t="s">
        <v>1221</v>
      </c>
      <c r="G8" s="9" t="b">
        <v>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7.63"/>
  </cols>
  <sheetData>
    <row r="1">
      <c r="A1" s="22" t="s">
        <v>1184</v>
      </c>
      <c r="B1" s="22" t="s">
        <v>1222</v>
      </c>
      <c r="C1" s="22" t="s">
        <v>120</v>
      </c>
      <c r="D1" s="22" t="s">
        <v>1223</v>
      </c>
      <c r="E1" s="22" t="s">
        <v>1021</v>
      </c>
      <c r="F1" s="22" t="s">
        <v>1224</v>
      </c>
      <c r="G1" s="22" t="s">
        <v>1225</v>
      </c>
      <c r="H1" s="22" t="s">
        <v>1226</v>
      </c>
      <c r="I1" s="22" t="s">
        <v>368</v>
      </c>
      <c r="J1" s="22" t="s">
        <v>369</v>
      </c>
    </row>
    <row r="2">
      <c r="A2" s="5" t="s">
        <v>1188</v>
      </c>
      <c r="B2" s="5" t="s">
        <v>1190</v>
      </c>
      <c r="C2" s="5" t="s">
        <v>1227</v>
      </c>
      <c r="D2" s="5" t="s">
        <v>1228</v>
      </c>
      <c r="E2" s="5" t="s">
        <v>376</v>
      </c>
      <c r="F2" s="5" t="s">
        <v>1229</v>
      </c>
      <c r="G2" s="5" t="s">
        <v>1230</v>
      </c>
      <c r="H2" s="5" t="s">
        <v>1231</v>
      </c>
      <c r="I2" s="5">
        <v>10.0</v>
      </c>
      <c r="J2" s="5" t="b">
        <v>1</v>
      </c>
    </row>
    <row r="3">
      <c r="A3" s="5" t="s">
        <v>1188</v>
      </c>
      <c r="B3" s="5" t="s">
        <v>1228</v>
      </c>
      <c r="C3" s="5" t="s">
        <v>1232</v>
      </c>
      <c r="D3" s="5" t="s">
        <v>88</v>
      </c>
      <c r="E3" s="5" t="s">
        <v>376</v>
      </c>
      <c r="F3" s="5" t="s">
        <v>1233</v>
      </c>
      <c r="G3" s="18" t="s">
        <v>1234</v>
      </c>
      <c r="H3" s="5" t="s">
        <v>1235</v>
      </c>
      <c r="I3" s="5">
        <v>20.0</v>
      </c>
      <c r="J3" s="5" t="b">
        <v>1</v>
      </c>
    </row>
    <row r="4">
      <c r="A4" s="5" t="s">
        <v>1188</v>
      </c>
      <c r="B4" s="5" t="s">
        <v>88</v>
      </c>
      <c r="C4" s="5" t="s">
        <v>1236</v>
      </c>
      <c r="D4" s="5" t="s">
        <v>1237</v>
      </c>
      <c r="E4" s="5" t="s">
        <v>375</v>
      </c>
      <c r="F4" s="5" t="s">
        <v>1238</v>
      </c>
      <c r="G4" s="18" t="s">
        <v>1239</v>
      </c>
      <c r="H4" s="5" t="s">
        <v>1240</v>
      </c>
      <c r="I4" s="5">
        <v>30.0</v>
      </c>
      <c r="J4" s="5" t="b">
        <v>1</v>
      </c>
    </row>
    <row r="5">
      <c r="A5" s="5" t="s">
        <v>1193</v>
      </c>
      <c r="B5" s="5" t="s">
        <v>1196</v>
      </c>
      <c r="C5" s="5" t="s">
        <v>1241</v>
      </c>
      <c r="D5" s="5" t="s">
        <v>1242</v>
      </c>
      <c r="E5" s="5" t="s">
        <v>411</v>
      </c>
      <c r="F5" s="5" t="s">
        <v>1243</v>
      </c>
      <c r="G5" s="18" t="s">
        <v>1244</v>
      </c>
      <c r="H5" s="5" t="s">
        <v>114</v>
      </c>
      <c r="I5" s="5">
        <v>10.0</v>
      </c>
      <c r="J5" s="5" t="b">
        <v>1</v>
      </c>
    </row>
    <row r="6">
      <c r="A6" s="5" t="s">
        <v>1193</v>
      </c>
      <c r="B6" s="5" t="s">
        <v>1242</v>
      </c>
      <c r="C6" s="5" t="s">
        <v>1245</v>
      </c>
      <c r="D6" s="5" t="s">
        <v>1246</v>
      </c>
      <c r="E6" s="5" t="s">
        <v>411</v>
      </c>
      <c r="F6" s="5" t="s">
        <v>1247</v>
      </c>
      <c r="G6" s="18" t="s">
        <v>1248</v>
      </c>
      <c r="H6" s="5" t="s">
        <v>1249</v>
      </c>
      <c r="I6" s="5">
        <v>20.0</v>
      </c>
      <c r="J6" s="5" t="b">
        <v>1</v>
      </c>
    </row>
    <row r="7">
      <c r="A7" s="5" t="s">
        <v>1193</v>
      </c>
      <c r="B7" s="5" t="s">
        <v>1242</v>
      </c>
      <c r="C7" s="5" t="s">
        <v>1250</v>
      </c>
      <c r="D7" s="5" t="s">
        <v>1251</v>
      </c>
      <c r="E7" s="5" t="s">
        <v>411</v>
      </c>
      <c r="F7" s="5" t="s">
        <v>1252</v>
      </c>
      <c r="G7" s="18" t="s">
        <v>1253</v>
      </c>
      <c r="H7" s="5" t="s">
        <v>1254</v>
      </c>
      <c r="I7" s="5">
        <v>30.0</v>
      </c>
      <c r="J7" s="5" t="b">
        <v>1</v>
      </c>
    </row>
    <row r="8">
      <c r="A8" s="5" t="s">
        <v>1193</v>
      </c>
      <c r="B8" s="5" t="s">
        <v>1251</v>
      </c>
      <c r="C8" s="5" t="s">
        <v>1255</v>
      </c>
      <c r="D8" s="5" t="s">
        <v>1207</v>
      </c>
      <c r="E8" s="5" t="s">
        <v>434</v>
      </c>
      <c r="F8" s="5" t="s">
        <v>1256</v>
      </c>
      <c r="G8" s="18" t="s">
        <v>1257</v>
      </c>
      <c r="H8" s="5" t="s">
        <v>1258</v>
      </c>
      <c r="I8" s="5">
        <v>40.0</v>
      </c>
      <c r="J8" s="5" t="b">
        <v>1</v>
      </c>
    </row>
    <row r="9">
      <c r="A9" s="5" t="s">
        <v>1193</v>
      </c>
      <c r="B9" s="5" t="s">
        <v>1251</v>
      </c>
      <c r="C9" s="5" t="s">
        <v>1259</v>
      </c>
      <c r="D9" s="5" t="s">
        <v>1260</v>
      </c>
      <c r="E9" s="5" t="s">
        <v>434</v>
      </c>
      <c r="F9" s="18" t="s">
        <v>1256</v>
      </c>
      <c r="G9" s="18" t="s">
        <v>471</v>
      </c>
      <c r="H9" s="18" t="s">
        <v>1261</v>
      </c>
      <c r="I9" s="5">
        <v>50.0</v>
      </c>
      <c r="J9" s="5" t="b">
        <v>1</v>
      </c>
    </row>
    <row r="10">
      <c r="A10" s="5" t="s">
        <v>1193</v>
      </c>
      <c r="B10" s="5" t="s">
        <v>1260</v>
      </c>
      <c r="C10" s="5" t="s">
        <v>1262</v>
      </c>
      <c r="D10" s="5" t="s">
        <v>1251</v>
      </c>
      <c r="E10" s="5" t="s">
        <v>411</v>
      </c>
      <c r="F10" s="5" t="s">
        <v>1263</v>
      </c>
      <c r="G10" s="18" t="s">
        <v>1264</v>
      </c>
      <c r="H10" s="5" t="s">
        <v>1265</v>
      </c>
      <c r="I10" s="5">
        <v>60.0</v>
      </c>
      <c r="J10" s="5" t="b">
        <v>1</v>
      </c>
    </row>
    <row r="11">
      <c r="A11" s="5" t="s">
        <v>1193</v>
      </c>
      <c r="B11" s="5" t="s">
        <v>1207</v>
      </c>
      <c r="C11" s="5" t="s">
        <v>1266</v>
      </c>
      <c r="D11" s="5" t="s">
        <v>1246</v>
      </c>
      <c r="E11" s="5" t="s">
        <v>434</v>
      </c>
      <c r="F11" s="18" t="s">
        <v>1267</v>
      </c>
      <c r="G11" s="18" t="s">
        <v>471</v>
      </c>
      <c r="H11" s="5" t="s">
        <v>1249</v>
      </c>
      <c r="I11" s="5">
        <v>70.0</v>
      </c>
      <c r="J11" s="5" t="b">
        <v>1</v>
      </c>
    </row>
    <row r="12">
      <c r="A12" s="5" t="s">
        <v>1199</v>
      </c>
      <c r="B12" s="5" t="s">
        <v>1201</v>
      </c>
      <c r="C12" s="5" t="s">
        <v>1268</v>
      </c>
      <c r="D12" s="5" t="s">
        <v>1269</v>
      </c>
      <c r="E12" s="5" t="s">
        <v>489</v>
      </c>
      <c r="F12" s="5" t="s">
        <v>1229</v>
      </c>
      <c r="G12" s="18" t="s">
        <v>1270</v>
      </c>
      <c r="H12" s="5" t="s">
        <v>108</v>
      </c>
      <c r="I12" s="5">
        <v>10.0</v>
      </c>
      <c r="J12" s="5" t="b">
        <v>1</v>
      </c>
    </row>
    <row r="13">
      <c r="A13" s="5" t="s">
        <v>1199</v>
      </c>
      <c r="B13" s="5" t="s">
        <v>1269</v>
      </c>
      <c r="C13" s="5" t="s">
        <v>1271</v>
      </c>
      <c r="D13" s="5" t="s">
        <v>1272</v>
      </c>
      <c r="E13" s="5" t="s">
        <v>376</v>
      </c>
      <c r="F13" s="5" t="s">
        <v>1273</v>
      </c>
      <c r="G13" s="18" t="s">
        <v>1274</v>
      </c>
      <c r="H13" s="5" t="s">
        <v>1275</v>
      </c>
      <c r="I13" s="5">
        <v>20.0</v>
      </c>
      <c r="J13" s="5" t="b">
        <v>1</v>
      </c>
    </row>
    <row r="14">
      <c r="A14" s="5" t="s">
        <v>1199</v>
      </c>
      <c r="B14" s="5" t="s">
        <v>1272</v>
      </c>
      <c r="C14" s="5" t="s">
        <v>1276</v>
      </c>
      <c r="D14" s="5" t="s">
        <v>1061</v>
      </c>
      <c r="E14" s="5" t="s">
        <v>1277</v>
      </c>
      <c r="F14" s="18" t="s">
        <v>1278</v>
      </c>
      <c r="G14" s="18" t="s">
        <v>1244</v>
      </c>
      <c r="H14" s="5" t="s">
        <v>114</v>
      </c>
      <c r="I14" s="5">
        <v>30.0</v>
      </c>
      <c r="J14" s="5" t="b">
        <v>1</v>
      </c>
    </row>
    <row r="15">
      <c r="A15" s="5" t="s">
        <v>1199</v>
      </c>
      <c r="B15" s="5" t="s">
        <v>1061</v>
      </c>
      <c r="C15" s="5" t="s">
        <v>1279</v>
      </c>
      <c r="D15" s="5" t="s">
        <v>852</v>
      </c>
      <c r="E15" s="5" t="s">
        <v>489</v>
      </c>
      <c r="F15" s="5" t="s">
        <v>1075</v>
      </c>
      <c r="G15" s="18" t="s">
        <v>471</v>
      </c>
      <c r="H15" s="5" t="s">
        <v>1280</v>
      </c>
      <c r="I15" s="5">
        <v>40.0</v>
      </c>
      <c r="J15" s="5" t="b">
        <v>1</v>
      </c>
    </row>
    <row r="16">
      <c r="A16" s="5" t="s">
        <v>1199</v>
      </c>
      <c r="B16" s="5" t="s">
        <v>852</v>
      </c>
      <c r="C16" s="5" t="s">
        <v>1281</v>
      </c>
      <c r="D16" s="5" t="s">
        <v>1282</v>
      </c>
      <c r="E16" s="5" t="s">
        <v>385</v>
      </c>
      <c r="F16" s="18" t="s">
        <v>1283</v>
      </c>
      <c r="G16" s="18" t="s">
        <v>471</v>
      </c>
      <c r="H16" s="5" t="s">
        <v>1284</v>
      </c>
      <c r="I16" s="5">
        <v>50.0</v>
      </c>
      <c r="J16" s="5" t="b">
        <v>1</v>
      </c>
    </row>
    <row r="17">
      <c r="A17" s="5" t="s">
        <v>1199</v>
      </c>
      <c r="B17" s="5" t="s">
        <v>1282</v>
      </c>
      <c r="C17" s="5" t="s">
        <v>1285</v>
      </c>
      <c r="D17" s="5" t="s">
        <v>1286</v>
      </c>
      <c r="E17" s="5" t="s">
        <v>385</v>
      </c>
      <c r="F17" s="5" t="s">
        <v>1287</v>
      </c>
      <c r="G17" s="18" t="s">
        <v>471</v>
      </c>
      <c r="H17" s="5" t="s">
        <v>1288</v>
      </c>
      <c r="I17" s="5">
        <v>60.0</v>
      </c>
      <c r="J17" s="5" t="b">
        <v>1</v>
      </c>
    </row>
    <row r="18">
      <c r="A18" s="5" t="s">
        <v>1199</v>
      </c>
      <c r="B18" s="5" t="s">
        <v>1286</v>
      </c>
      <c r="C18" s="5" t="s">
        <v>1289</v>
      </c>
      <c r="D18" s="5" t="s">
        <v>1290</v>
      </c>
      <c r="E18" s="5" t="s">
        <v>385</v>
      </c>
      <c r="F18" s="5" t="s">
        <v>1291</v>
      </c>
      <c r="G18" s="18" t="s">
        <v>471</v>
      </c>
      <c r="H18" s="5" t="s">
        <v>1292</v>
      </c>
      <c r="I18" s="5">
        <v>70.0</v>
      </c>
      <c r="J18" s="5" t="b">
        <v>1</v>
      </c>
    </row>
    <row r="19">
      <c r="A19" s="5" t="s">
        <v>1199</v>
      </c>
      <c r="B19" s="5" t="s">
        <v>1290</v>
      </c>
      <c r="C19" s="5" t="s">
        <v>1293</v>
      </c>
      <c r="D19" s="5" t="s">
        <v>423</v>
      </c>
      <c r="E19" s="5" t="s">
        <v>1294</v>
      </c>
      <c r="F19" s="5" t="s">
        <v>1295</v>
      </c>
      <c r="G19" s="18" t="s">
        <v>471</v>
      </c>
      <c r="H19" s="5" t="s">
        <v>1296</v>
      </c>
      <c r="I19" s="5">
        <v>80.0</v>
      </c>
      <c r="J19" s="5" t="b">
        <v>1</v>
      </c>
    </row>
    <row r="20">
      <c r="A20" s="9" t="s">
        <v>1199</v>
      </c>
      <c r="B20" s="9" t="s">
        <v>423</v>
      </c>
      <c r="C20" s="9" t="s">
        <v>1297</v>
      </c>
      <c r="D20" s="9" t="s">
        <v>1298</v>
      </c>
      <c r="E20" s="9" t="s">
        <v>796</v>
      </c>
      <c r="F20" s="9" t="s">
        <v>1299</v>
      </c>
      <c r="G20" s="9" t="s">
        <v>471</v>
      </c>
      <c r="H20" s="9" t="s">
        <v>1300</v>
      </c>
      <c r="I20" s="9">
        <v>90.0</v>
      </c>
      <c r="J20" s="9" t="b">
        <v>1</v>
      </c>
    </row>
    <row r="21">
      <c r="A21" s="9" t="s">
        <v>1204</v>
      </c>
      <c r="B21" s="9" t="s">
        <v>1206</v>
      </c>
      <c r="C21" s="9" t="s">
        <v>1301</v>
      </c>
      <c r="D21" s="9" t="s">
        <v>1302</v>
      </c>
      <c r="E21" s="9" t="s">
        <v>394</v>
      </c>
      <c r="F21" s="9" t="s">
        <v>471</v>
      </c>
      <c r="G21" s="9" t="s">
        <v>1075</v>
      </c>
      <c r="H21" s="9" t="s">
        <v>471</v>
      </c>
      <c r="I21" s="9">
        <v>10.0</v>
      </c>
      <c r="J21" s="9" t="b">
        <v>1</v>
      </c>
    </row>
    <row r="22">
      <c r="A22" s="9" t="s">
        <v>1204</v>
      </c>
      <c r="B22" s="9" t="s">
        <v>1302</v>
      </c>
      <c r="C22" s="9" t="s">
        <v>858</v>
      </c>
      <c r="D22" s="9" t="s">
        <v>1303</v>
      </c>
      <c r="E22" s="9" t="s">
        <v>394</v>
      </c>
      <c r="F22" s="9" t="s">
        <v>1304</v>
      </c>
      <c r="G22" s="9" t="s">
        <v>471</v>
      </c>
      <c r="H22" s="9" t="s">
        <v>1305</v>
      </c>
      <c r="I22" s="9">
        <v>20.0</v>
      </c>
      <c r="J22" s="9" t="b">
        <v>1</v>
      </c>
    </row>
    <row r="23">
      <c r="A23" s="9" t="s">
        <v>1204</v>
      </c>
      <c r="B23" s="9" t="s">
        <v>1303</v>
      </c>
      <c r="C23" s="9" t="s">
        <v>849</v>
      </c>
      <c r="D23" s="9" t="s">
        <v>1207</v>
      </c>
      <c r="E23" s="9" t="s">
        <v>580</v>
      </c>
      <c r="F23" s="9" t="s">
        <v>471</v>
      </c>
      <c r="G23" s="9" t="s">
        <v>471</v>
      </c>
      <c r="H23" s="9" t="s">
        <v>1306</v>
      </c>
      <c r="I23" s="9">
        <v>30.0</v>
      </c>
      <c r="J23" s="9" t="b">
        <v>1</v>
      </c>
    </row>
    <row r="24">
      <c r="A24" s="9" t="s">
        <v>1204</v>
      </c>
      <c r="B24" s="9" t="s">
        <v>1303</v>
      </c>
      <c r="C24" s="9" t="s">
        <v>1307</v>
      </c>
      <c r="D24" s="9" t="s">
        <v>1302</v>
      </c>
      <c r="E24" s="9" t="s">
        <v>580</v>
      </c>
      <c r="F24" s="9" t="s">
        <v>1256</v>
      </c>
      <c r="G24" s="9" t="s">
        <v>471</v>
      </c>
      <c r="H24" s="9" t="s">
        <v>1308</v>
      </c>
      <c r="I24" s="9">
        <v>40.0</v>
      </c>
      <c r="J24" s="9" t="b">
        <v>1</v>
      </c>
    </row>
    <row r="25">
      <c r="A25" s="9" t="s">
        <v>1209</v>
      </c>
      <c r="B25" s="9" t="s">
        <v>1201</v>
      </c>
      <c r="C25" s="9" t="s">
        <v>1309</v>
      </c>
      <c r="D25" s="9" t="s">
        <v>879</v>
      </c>
      <c r="E25" s="9" t="s">
        <v>410</v>
      </c>
      <c r="F25" s="9" t="s">
        <v>1310</v>
      </c>
      <c r="G25" s="9" t="s">
        <v>471</v>
      </c>
      <c r="H25" s="9" t="s">
        <v>1311</v>
      </c>
      <c r="I25" s="9">
        <v>10.0</v>
      </c>
      <c r="J25" s="9" t="b">
        <v>1</v>
      </c>
    </row>
    <row r="26">
      <c r="A26" s="9" t="s">
        <v>1209</v>
      </c>
      <c r="B26" s="9" t="s">
        <v>879</v>
      </c>
      <c r="C26" s="9" t="s">
        <v>1312</v>
      </c>
      <c r="D26" s="9" t="s">
        <v>1313</v>
      </c>
      <c r="E26" s="9" t="s">
        <v>385</v>
      </c>
      <c r="F26" s="9" t="s">
        <v>471</v>
      </c>
      <c r="G26" s="9" t="s">
        <v>471</v>
      </c>
      <c r="H26" s="9" t="s">
        <v>1314</v>
      </c>
      <c r="I26" s="9">
        <v>20.0</v>
      </c>
      <c r="J26" s="9" t="b">
        <v>1</v>
      </c>
    </row>
    <row r="27">
      <c r="A27" s="9" t="s">
        <v>1209</v>
      </c>
      <c r="B27" s="9" t="s">
        <v>1313</v>
      </c>
      <c r="C27" s="9" t="s">
        <v>1315</v>
      </c>
      <c r="D27" s="9" t="s">
        <v>1316</v>
      </c>
      <c r="E27" s="9" t="s">
        <v>395</v>
      </c>
      <c r="F27" s="9" t="s">
        <v>1317</v>
      </c>
      <c r="G27" s="9" t="s">
        <v>471</v>
      </c>
      <c r="H27" s="9" t="s">
        <v>1318</v>
      </c>
      <c r="I27" s="9">
        <v>30.0</v>
      </c>
      <c r="J27" s="9" t="b">
        <v>1</v>
      </c>
    </row>
    <row r="28">
      <c r="A28" s="9" t="s">
        <v>1209</v>
      </c>
      <c r="B28" s="9" t="s">
        <v>1316</v>
      </c>
      <c r="C28" s="9" t="s">
        <v>1319</v>
      </c>
      <c r="D28" s="9" t="s">
        <v>1320</v>
      </c>
      <c r="E28" s="9" t="s">
        <v>1321</v>
      </c>
      <c r="F28" s="9" t="s">
        <v>471</v>
      </c>
      <c r="G28" s="9" t="s">
        <v>471</v>
      </c>
      <c r="H28" s="9" t="s">
        <v>1322</v>
      </c>
      <c r="I28" s="9">
        <v>40.0</v>
      </c>
      <c r="J28" s="9" t="b">
        <v>1</v>
      </c>
    </row>
    <row r="29">
      <c r="A29" s="9" t="s">
        <v>1209</v>
      </c>
      <c r="B29" s="9" t="s">
        <v>1320</v>
      </c>
      <c r="C29" s="9" t="s">
        <v>1323</v>
      </c>
      <c r="D29" s="9" t="s">
        <v>429</v>
      </c>
      <c r="E29" s="9" t="s">
        <v>395</v>
      </c>
      <c r="F29" s="9" t="s">
        <v>1324</v>
      </c>
      <c r="G29" s="9" t="s">
        <v>471</v>
      </c>
      <c r="H29" s="9" t="s">
        <v>1325</v>
      </c>
      <c r="I29" s="9">
        <v>50.0</v>
      </c>
      <c r="J29" s="9" t="b">
        <v>1</v>
      </c>
    </row>
    <row r="30">
      <c r="A30" s="9" t="s">
        <v>1209</v>
      </c>
      <c r="B30" s="9" t="s">
        <v>429</v>
      </c>
      <c r="C30" s="9" t="s">
        <v>1326</v>
      </c>
      <c r="D30" s="9" t="s">
        <v>1298</v>
      </c>
      <c r="E30" s="9" t="s">
        <v>544</v>
      </c>
      <c r="F30" s="9" t="s">
        <v>1327</v>
      </c>
      <c r="G30" s="9" t="s">
        <v>471</v>
      </c>
      <c r="H30" s="9" t="s">
        <v>1328</v>
      </c>
      <c r="I30" s="9">
        <v>60.0</v>
      </c>
      <c r="J30" s="9" t="b">
        <v>1</v>
      </c>
    </row>
    <row r="31">
      <c r="A31" s="9" t="s">
        <v>1209</v>
      </c>
      <c r="B31" s="9" t="s">
        <v>429</v>
      </c>
      <c r="C31" s="9" t="s">
        <v>1329</v>
      </c>
      <c r="D31" s="9" t="s">
        <v>1320</v>
      </c>
      <c r="E31" s="9" t="s">
        <v>544</v>
      </c>
      <c r="F31" s="9" t="s">
        <v>1330</v>
      </c>
      <c r="G31" s="9" t="s">
        <v>471</v>
      </c>
      <c r="H31" s="9" t="s">
        <v>1331</v>
      </c>
      <c r="I31" s="9">
        <v>70.0</v>
      </c>
      <c r="J31" s="9" t="b">
        <v>1</v>
      </c>
    </row>
    <row r="32">
      <c r="A32" s="9" t="s">
        <v>1218</v>
      </c>
      <c r="B32" s="9" t="s">
        <v>1201</v>
      </c>
      <c r="C32" s="9" t="s">
        <v>1332</v>
      </c>
      <c r="D32" s="9" t="s">
        <v>1196</v>
      </c>
      <c r="E32" s="9" t="s">
        <v>75</v>
      </c>
      <c r="F32" s="9" t="s">
        <v>1333</v>
      </c>
      <c r="G32" s="9" t="s">
        <v>471</v>
      </c>
      <c r="H32" s="9" t="s">
        <v>1334</v>
      </c>
      <c r="I32" s="9">
        <v>10.0</v>
      </c>
      <c r="J32" s="9" t="b">
        <v>1</v>
      </c>
    </row>
    <row r="33">
      <c r="A33" s="9" t="s">
        <v>1218</v>
      </c>
      <c r="B33" s="9" t="s">
        <v>1196</v>
      </c>
      <c r="C33" s="9" t="s">
        <v>1335</v>
      </c>
      <c r="D33" s="9" t="s">
        <v>1336</v>
      </c>
      <c r="E33" s="9" t="s">
        <v>1183</v>
      </c>
      <c r="F33" s="9" t="s">
        <v>1337</v>
      </c>
      <c r="G33" s="9" t="s">
        <v>1338</v>
      </c>
      <c r="H33" s="9" t="s">
        <v>1339</v>
      </c>
      <c r="I33" s="9">
        <v>20.0</v>
      </c>
      <c r="J33" s="9" t="b"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7.63"/>
    <col customWidth="1" min="3" max="3" width="35.13"/>
    <col customWidth="1" min="4" max="5" width="17.63"/>
    <col customWidth="1" min="6" max="6" width="27.63"/>
    <col customWidth="1" min="7" max="9" width="17.63"/>
    <col customWidth="1" min="10" max="10" width="32.63"/>
  </cols>
  <sheetData>
    <row r="1">
      <c r="A1" s="24" t="s">
        <v>338</v>
      </c>
      <c r="B1" s="24" t="s">
        <v>1340</v>
      </c>
      <c r="C1" s="24" t="s">
        <v>339</v>
      </c>
      <c r="D1" s="24" t="s">
        <v>1341</v>
      </c>
      <c r="E1" s="24" t="s">
        <v>1342</v>
      </c>
      <c r="F1" s="24" t="s">
        <v>1343</v>
      </c>
      <c r="G1" s="24" t="s">
        <v>1344</v>
      </c>
      <c r="H1" s="24" t="s">
        <v>1345</v>
      </c>
      <c r="I1" s="24" t="s">
        <v>369</v>
      </c>
      <c r="J1" s="24" t="s">
        <v>210</v>
      </c>
    </row>
    <row r="2">
      <c r="A2" s="5" t="s">
        <v>1346</v>
      </c>
      <c r="B2" s="5" t="s">
        <v>1347</v>
      </c>
      <c r="C2" s="5" t="s">
        <v>1348</v>
      </c>
      <c r="D2" s="7"/>
      <c r="E2" s="5" t="s">
        <v>1349</v>
      </c>
      <c r="F2" s="5" t="s">
        <v>1350</v>
      </c>
      <c r="G2" s="25">
        <v>44777.0</v>
      </c>
      <c r="H2" s="7"/>
      <c r="I2" s="5" t="b">
        <v>1</v>
      </c>
      <c r="J2" s="5" t="s">
        <v>1351</v>
      </c>
    </row>
    <row r="3">
      <c r="A3" s="5" t="s">
        <v>1352</v>
      </c>
      <c r="B3" s="5" t="s">
        <v>1353</v>
      </c>
      <c r="C3" s="5" t="s">
        <v>1354</v>
      </c>
      <c r="D3" s="5" t="s">
        <v>1347</v>
      </c>
      <c r="E3" s="5" t="s">
        <v>1355</v>
      </c>
      <c r="F3" s="5" t="s">
        <v>1350</v>
      </c>
      <c r="G3" s="25">
        <v>44777.0</v>
      </c>
      <c r="H3" s="7"/>
      <c r="I3" s="5" t="b">
        <v>1</v>
      </c>
      <c r="J3" s="5" t="s">
        <v>1356</v>
      </c>
    </row>
    <row r="4">
      <c r="A4" s="5" t="s">
        <v>1357</v>
      </c>
      <c r="B4" s="5" t="s">
        <v>1358</v>
      </c>
      <c r="C4" s="5" t="s">
        <v>1359</v>
      </c>
      <c r="D4" s="5" t="s">
        <v>1353</v>
      </c>
      <c r="E4" s="5" t="s">
        <v>1360</v>
      </c>
      <c r="F4" s="5" t="s">
        <v>1350</v>
      </c>
      <c r="G4" s="25">
        <v>44777.0</v>
      </c>
      <c r="H4" s="7"/>
      <c r="I4" s="5" t="b">
        <v>1</v>
      </c>
      <c r="J4" s="5" t="s">
        <v>1361</v>
      </c>
    </row>
    <row r="5">
      <c r="A5" s="5" t="s">
        <v>1362</v>
      </c>
      <c r="B5" s="5" t="s">
        <v>1363</v>
      </c>
      <c r="C5" s="5" t="s">
        <v>1364</v>
      </c>
      <c r="D5" s="5" t="s">
        <v>1353</v>
      </c>
      <c r="E5" s="5" t="s">
        <v>1360</v>
      </c>
      <c r="F5" s="5" t="s">
        <v>1350</v>
      </c>
      <c r="G5" s="25">
        <v>44777.0</v>
      </c>
      <c r="H5" s="7"/>
      <c r="I5" s="5" t="b">
        <v>1</v>
      </c>
      <c r="J5" s="5" t="s">
        <v>1365</v>
      </c>
    </row>
    <row r="6">
      <c r="A6" s="5" t="s">
        <v>1366</v>
      </c>
      <c r="B6" s="5" t="s">
        <v>1367</v>
      </c>
      <c r="C6" s="5" t="s">
        <v>1368</v>
      </c>
      <c r="D6" s="5" t="s">
        <v>1353</v>
      </c>
      <c r="E6" s="5" t="s">
        <v>1360</v>
      </c>
      <c r="F6" s="5" t="s">
        <v>1350</v>
      </c>
      <c r="G6" s="25">
        <v>44777.0</v>
      </c>
      <c r="H6" s="7"/>
      <c r="I6" s="5" t="b">
        <v>1</v>
      </c>
      <c r="J6" s="5" t="s">
        <v>1369</v>
      </c>
    </row>
    <row r="7">
      <c r="A7" s="5" t="s">
        <v>1370</v>
      </c>
      <c r="B7" s="5" t="s">
        <v>1371</v>
      </c>
      <c r="C7" s="5" t="s">
        <v>1372</v>
      </c>
      <c r="D7" s="5" t="s">
        <v>1353</v>
      </c>
      <c r="E7" s="5" t="s">
        <v>1373</v>
      </c>
      <c r="F7" s="5" t="s">
        <v>1350</v>
      </c>
      <c r="G7" s="25">
        <v>44777.0</v>
      </c>
      <c r="H7" s="7"/>
      <c r="I7" s="5" t="b">
        <v>1</v>
      </c>
      <c r="J7" s="5" t="s">
        <v>1374</v>
      </c>
    </row>
    <row r="8">
      <c r="A8" s="5" t="s">
        <v>1375</v>
      </c>
      <c r="B8" s="5" t="s">
        <v>1376</v>
      </c>
      <c r="C8" s="5" t="s">
        <v>1377</v>
      </c>
      <c r="D8" s="5" t="s">
        <v>1353</v>
      </c>
      <c r="E8" s="5" t="s">
        <v>1373</v>
      </c>
      <c r="F8" s="5" t="s">
        <v>1350</v>
      </c>
      <c r="G8" s="25">
        <v>44777.0</v>
      </c>
      <c r="H8" s="7"/>
      <c r="I8" s="5" t="b">
        <v>1</v>
      </c>
      <c r="J8" s="5" t="s">
        <v>1378</v>
      </c>
    </row>
    <row r="9">
      <c r="A9" s="5" t="s">
        <v>350</v>
      </c>
      <c r="B9" s="5" t="s">
        <v>1379</v>
      </c>
      <c r="C9" s="5" t="s">
        <v>351</v>
      </c>
      <c r="D9" s="5" t="s">
        <v>1353</v>
      </c>
      <c r="E9" s="5" t="s">
        <v>1380</v>
      </c>
      <c r="F9" s="5" t="s">
        <v>1350</v>
      </c>
      <c r="G9" s="25">
        <v>44777.0</v>
      </c>
      <c r="H9" s="7"/>
      <c r="I9" s="5" t="b">
        <v>1</v>
      </c>
      <c r="J9" s="5" t="s">
        <v>1381</v>
      </c>
    </row>
    <row r="10">
      <c r="A10" s="5" t="s">
        <v>1382</v>
      </c>
      <c r="B10" s="5" t="s">
        <v>1383</v>
      </c>
      <c r="C10" s="5" t="s">
        <v>1384</v>
      </c>
      <c r="D10" s="5" t="s">
        <v>1353</v>
      </c>
      <c r="E10" s="5" t="s">
        <v>1380</v>
      </c>
      <c r="F10" s="5" t="s">
        <v>1350</v>
      </c>
      <c r="G10" s="25">
        <v>44777.0</v>
      </c>
      <c r="H10" s="7"/>
      <c r="I10" s="5" t="b">
        <v>1</v>
      </c>
      <c r="J10" s="5" t="s">
        <v>1385</v>
      </c>
    </row>
    <row r="11">
      <c r="A11" s="5" t="s">
        <v>1386</v>
      </c>
      <c r="B11" s="5" t="s">
        <v>1387</v>
      </c>
      <c r="C11" s="5" t="s">
        <v>1388</v>
      </c>
      <c r="D11" s="5" t="s">
        <v>1353</v>
      </c>
      <c r="E11" s="5" t="s">
        <v>1389</v>
      </c>
      <c r="F11" s="5" t="s">
        <v>1390</v>
      </c>
      <c r="G11" s="25">
        <v>46022.0</v>
      </c>
      <c r="H11" s="7"/>
      <c r="I11" s="5" t="b">
        <v>1</v>
      </c>
      <c r="J11" s="5" t="s">
        <v>1391</v>
      </c>
    </row>
    <row r="12">
      <c r="A12" s="5" t="s">
        <v>1392</v>
      </c>
      <c r="B12" s="5" t="s">
        <v>1393</v>
      </c>
      <c r="C12" s="5" t="s">
        <v>1394</v>
      </c>
      <c r="D12" s="5" t="s">
        <v>1353</v>
      </c>
      <c r="E12" s="5" t="s">
        <v>1395</v>
      </c>
      <c r="F12" s="5" t="s">
        <v>1350</v>
      </c>
      <c r="G12" s="25">
        <v>44777.0</v>
      </c>
      <c r="H12" s="7"/>
      <c r="I12" s="5" t="b">
        <v>1</v>
      </c>
      <c r="J12" s="5" t="s">
        <v>1396</v>
      </c>
    </row>
    <row r="13">
      <c r="A13" s="5" t="s">
        <v>1397</v>
      </c>
      <c r="B13" s="5" t="s">
        <v>1398</v>
      </c>
      <c r="C13" s="5" t="s">
        <v>1399</v>
      </c>
      <c r="D13" s="5" t="s">
        <v>1353</v>
      </c>
      <c r="E13" s="5" t="s">
        <v>1395</v>
      </c>
      <c r="F13" s="5" t="s">
        <v>1350</v>
      </c>
      <c r="G13" s="25">
        <v>44777.0</v>
      </c>
      <c r="H13" s="7"/>
      <c r="I13" s="5" t="b">
        <v>1</v>
      </c>
      <c r="J13" s="5" t="s">
        <v>1400</v>
      </c>
    </row>
    <row r="14">
      <c r="A14" s="5" t="s">
        <v>1401</v>
      </c>
      <c r="B14" s="5" t="s">
        <v>1402</v>
      </c>
      <c r="C14" s="5" t="s">
        <v>1403</v>
      </c>
      <c r="D14" s="5" t="s">
        <v>1353</v>
      </c>
      <c r="E14" s="5" t="s">
        <v>1395</v>
      </c>
      <c r="F14" s="5" t="s">
        <v>1350</v>
      </c>
      <c r="G14" s="25">
        <v>44777.0</v>
      </c>
      <c r="H14" s="7"/>
      <c r="I14" s="5" t="b">
        <v>1</v>
      </c>
      <c r="J14" s="5" t="s">
        <v>1404</v>
      </c>
    </row>
    <row r="15">
      <c r="A15" s="5" t="s">
        <v>1405</v>
      </c>
      <c r="B15" s="5" t="s">
        <v>1406</v>
      </c>
      <c r="C15" s="5" t="s">
        <v>1407</v>
      </c>
      <c r="D15" s="5" t="s">
        <v>1353</v>
      </c>
      <c r="E15" s="5" t="s">
        <v>1395</v>
      </c>
      <c r="F15" s="5" t="s">
        <v>1350</v>
      </c>
      <c r="G15" s="25">
        <v>44777.0</v>
      </c>
      <c r="H15" s="7"/>
      <c r="I15" s="5" t="b">
        <v>1</v>
      </c>
      <c r="J15" s="5" t="s">
        <v>1408</v>
      </c>
    </row>
    <row r="16">
      <c r="A16" s="5" t="s">
        <v>1409</v>
      </c>
      <c r="B16" s="5" t="s">
        <v>1410</v>
      </c>
      <c r="C16" s="5" t="s">
        <v>1411</v>
      </c>
      <c r="D16" s="5" t="s">
        <v>1353</v>
      </c>
      <c r="E16" s="5" t="s">
        <v>1395</v>
      </c>
      <c r="F16" s="5" t="s">
        <v>1350</v>
      </c>
      <c r="G16" s="25">
        <v>44777.0</v>
      </c>
      <c r="H16" s="7"/>
      <c r="I16" s="5" t="b">
        <v>1</v>
      </c>
      <c r="J16" s="5" t="s">
        <v>1412</v>
      </c>
    </row>
    <row r="17">
      <c r="A17" s="5" t="s">
        <v>1413</v>
      </c>
      <c r="B17" s="5" t="s">
        <v>1414</v>
      </c>
      <c r="C17" s="5" t="s">
        <v>1415</v>
      </c>
      <c r="D17" s="5" t="s">
        <v>1353</v>
      </c>
      <c r="E17" s="5" t="s">
        <v>1395</v>
      </c>
      <c r="F17" s="5" t="s">
        <v>1350</v>
      </c>
      <c r="G17" s="25">
        <v>44777.0</v>
      </c>
      <c r="H17" s="7"/>
      <c r="I17" s="5" t="b">
        <v>1</v>
      </c>
      <c r="J17" s="5" t="s">
        <v>1416</v>
      </c>
    </row>
    <row r="18">
      <c r="A18" s="5" t="s">
        <v>1417</v>
      </c>
      <c r="B18" s="5" t="s">
        <v>1418</v>
      </c>
      <c r="C18" s="5" t="s">
        <v>1419</v>
      </c>
      <c r="D18" s="5" t="s">
        <v>1353</v>
      </c>
      <c r="E18" s="5" t="s">
        <v>1420</v>
      </c>
      <c r="F18" s="5" t="s">
        <v>1350</v>
      </c>
      <c r="G18" s="25">
        <v>44777.0</v>
      </c>
      <c r="H18" s="7"/>
      <c r="I18" s="5" t="b">
        <v>1</v>
      </c>
      <c r="J18" s="5" t="s">
        <v>1421</v>
      </c>
    </row>
    <row r="19">
      <c r="A19" s="5" t="s">
        <v>1422</v>
      </c>
      <c r="B19" s="5" t="s">
        <v>1423</v>
      </c>
      <c r="C19" s="5" t="s">
        <v>1424</v>
      </c>
      <c r="D19" s="5" t="s">
        <v>1353</v>
      </c>
      <c r="E19" s="5" t="s">
        <v>1420</v>
      </c>
      <c r="F19" s="5" t="s">
        <v>1350</v>
      </c>
      <c r="G19" s="25">
        <v>44777.0</v>
      </c>
      <c r="H19" s="7"/>
      <c r="I19" s="5" t="b">
        <v>1</v>
      </c>
      <c r="J19" s="5" t="s">
        <v>1421</v>
      </c>
    </row>
    <row r="20">
      <c r="A20" s="5" t="s">
        <v>1425</v>
      </c>
      <c r="B20" s="5" t="s">
        <v>1426</v>
      </c>
      <c r="C20" s="5" t="s">
        <v>1427</v>
      </c>
      <c r="D20" s="5" t="s">
        <v>1353</v>
      </c>
      <c r="E20" s="5" t="s">
        <v>1420</v>
      </c>
      <c r="F20" s="5" t="s">
        <v>1350</v>
      </c>
      <c r="G20" s="25">
        <v>44777.0</v>
      </c>
      <c r="H20" s="7"/>
      <c r="I20" s="5" t="b">
        <v>1</v>
      </c>
      <c r="J20" s="5" t="s">
        <v>1421</v>
      </c>
    </row>
    <row r="21">
      <c r="A21" s="5" t="s">
        <v>1428</v>
      </c>
      <c r="B21" s="5" t="s">
        <v>1429</v>
      </c>
      <c r="C21" s="5" t="s">
        <v>1430</v>
      </c>
      <c r="D21" s="5" t="s">
        <v>1353</v>
      </c>
      <c r="E21" s="5" t="s">
        <v>1420</v>
      </c>
      <c r="F21" s="5" t="s">
        <v>1350</v>
      </c>
      <c r="G21" s="25">
        <v>44777.0</v>
      </c>
      <c r="H21" s="7"/>
      <c r="I21" s="5" t="b">
        <v>1</v>
      </c>
      <c r="J21" s="5" t="s">
        <v>1421</v>
      </c>
    </row>
    <row r="22">
      <c r="A22" s="5" t="s">
        <v>1431</v>
      </c>
      <c r="B22" s="5" t="s">
        <v>1432</v>
      </c>
      <c r="C22" s="5" t="s">
        <v>1433</v>
      </c>
      <c r="D22" s="5" t="s">
        <v>1353</v>
      </c>
      <c r="E22" s="5" t="s">
        <v>1420</v>
      </c>
      <c r="F22" s="5" t="s">
        <v>1350</v>
      </c>
      <c r="G22" s="25">
        <v>44777.0</v>
      </c>
      <c r="H22" s="7"/>
      <c r="I22" s="5" t="b">
        <v>1</v>
      </c>
      <c r="J22" s="5" t="s">
        <v>1421</v>
      </c>
    </row>
    <row r="23">
      <c r="A23" s="5" t="s">
        <v>1434</v>
      </c>
      <c r="B23" s="5" t="s">
        <v>1435</v>
      </c>
      <c r="C23" s="5" t="s">
        <v>1436</v>
      </c>
      <c r="D23" s="5" t="s">
        <v>1353</v>
      </c>
      <c r="E23" s="5" t="s">
        <v>1420</v>
      </c>
      <c r="F23" s="5" t="s">
        <v>1350</v>
      </c>
      <c r="G23" s="25">
        <v>44777.0</v>
      </c>
      <c r="H23" s="7"/>
      <c r="I23" s="5" t="b">
        <v>1</v>
      </c>
      <c r="J23" s="5" t="s">
        <v>1421</v>
      </c>
    </row>
    <row r="24">
      <c r="A24" s="5" t="s">
        <v>1437</v>
      </c>
      <c r="B24" s="5" t="s">
        <v>1438</v>
      </c>
      <c r="C24" s="5" t="s">
        <v>1439</v>
      </c>
      <c r="D24" s="5" t="s">
        <v>1353</v>
      </c>
      <c r="E24" s="5" t="s">
        <v>1420</v>
      </c>
      <c r="F24" s="5" t="s">
        <v>1350</v>
      </c>
      <c r="G24" s="25">
        <v>44777.0</v>
      </c>
      <c r="H24" s="7"/>
      <c r="I24" s="5" t="b">
        <v>1</v>
      </c>
      <c r="J24" s="5" t="s">
        <v>1421</v>
      </c>
    </row>
    <row r="25">
      <c r="A25" s="5" t="s">
        <v>1440</v>
      </c>
      <c r="B25" s="5" t="s">
        <v>1441</v>
      </c>
      <c r="C25" s="5" t="s">
        <v>1442</v>
      </c>
      <c r="D25" s="5" t="s">
        <v>1353</v>
      </c>
      <c r="E25" s="5" t="s">
        <v>1420</v>
      </c>
      <c r="F25" s="5" t="s">
        <v>1350</v>
      </c>
      <c r="G25" s="25">
        <v>44777.0</v>
      </c>
      <c r="H25" s="7"/>
      <c r="I25" s="5" t="b">
        <v>1</v>
      </c>
      <c r="J25" s="5" t="s">
        <v>1421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7.63"/>
    <col customWidth="1" min="4" max="4" width="52.63"/>
    <col customWidth="1" min="5" max="5" width="17.63"/>
    <col customWidth="1" min="6" max="6" width="27.63"/>
    <col customWidth="1" min="7" max="8" width="17.63"/>
  </cols>
  <sheetData>
    <row r="1">
      <c r="A1" s="24" t="s">
        <v>1443</v>
      </c>
      <c r="B1" s="24" t="s">
        <v>1340</v>
      </c>
      <c r="C1" s="24" t="s">
        <v>1444</v>
      </c>
      <c r="D1" s="24" t="s">
        <v>1445</v>
      </c>
      <c r="E1" s="24" t="s">
        <v>1446</v>
      </c>
      <c r="F1" s="24" t="s">
        <v>1447</v>
      </c>
      <c r="G1" s="24" t="s">
        <v>550</v>
      </c>
      <c r="H1" s="24" t="s">
        <v>369</v>
      </c>
    </row>
    <row r="2">
      <c r="A2" s="5" t="s">
        <v>1448</v>
      </c>
      <c r="B2" s="5" t="s">
        <v>1353</v>
      </c>
      <c r="C2" s="5" t="s">
        <v>1360</v>
      </c>
      <c r="D2" s="5" t="s">
        <v>1449</v>
      </c>
      <c r="E2" s="5" t="s">
        <v>1450</v>
      </c>
      <c r="F2" s="5" t="s">
        <v>1451</v>
      </c>
      <c r="G2" s="5" t="s">
        <v>1452</v>
      </c>
      <c r="H2" s="5" t="b">
        <v>1</v>
      </c>
    </row>
    <row r="3">
      <c r="A3" s="5" t="s">
        <v>1453</v>
      </c>
      <c r="B3" s="5" t="s">
        <v>1358</v>
      </c>
      <c r="C3" s="5" t="s">
        <v>1454</v>
      </c>
      <c r="D3" s="5" t="s">
        <v>1455</v>
      </c>
      <c r="E3" s="5" t="s">
        <v>257</v>
      </c>
      <c r="F3" s="5" t="s">
        <v>1456</v>
      </c>
      <c r="G3" s="5" t="s">
        <v>1452</v>
      </c>
      <c r="H3" s="5" t="b">
        <v>1</v>
      </c>
    </row>
    <row r="4">
      <c r="A4" s="5" t="s">
        <v>1457</v>
      </c>
      <c r="B4" s="5" t="s">
        <v>1363</v>
      </c>
      <c r="C4" s="5" t="s">
        <v>1458</v>
      </c>
      <c r="D4" s="5" t="s">
        <v>1459</v>
      </c>
      <c r="E4" s="5" t="s">
        <v>257</v>
      </c>
      <c r="F4" s="5" t="s">
        <v>1460</v>
      </c>
      <c r="G4" s="5" t="s">
        <v>1452</v>
      </c>
      <c r="H4" s="5" t="b">
        <v>1</v>
      </c>
    </row>
    <row r="5">
      <c r="A5" s="5" t="s">
        <v>1461</v>
      </c>
      <c r="B5" s="5" t="s">
        <v>1367</v>
      </c>
      <c r="C5" s="5" t="s">
        <v>1462</v>
      </c>
      <c r="D5" s="5" t="s">
        <v>1463</v>
      </c>
      <c r="E5" s="5" t="s">
        <v>257</v>
      </c>
      <c r="F5" s="5" t="s">
        <v>1464</v>
      </c>
      <c r="G5" s="5" t="s">
        <v>1465</v>
      </c>
      <c r="H5" s="5" t="b">
        <v>1</v>
      </c>
    </row>
    <row r="6">
      <c r="A6" s="5" t="s">
        <v>1466</v>
      </c>
      <c r="B6" s="5" t="s">
        <v>1371</v>
      </c>
      <c r="C6" s="5" t="s">
        <v>1467</v>
      </c>
      <c r="D6" s="5" t="s">
        <v>1468</v>
      </c>
      <c r="E6" s="5" t="s">
        <v>257</v>
      </c>
      <c r="F6" s="5" t="s">
        <v>1469</v>
      </c>
      <c r="G6" s="5" t="s">
        <v>1452</v>
      </c>
      <c r="H6" s="5" t="b">
        <v>1</v>
      </c>
    </row>
    <row r="7">
      <c r="A7" s="5" t="s">
        <v>1470</v>
      </c>
      <c r="B7" s="5" t="s">
        <v>1371</v>
      </c>
      <c r="C7" s="5" t="s">
        <v>1471</v>
      </c>
      <c r="D7" s="5" t="s">
        <v>1472</v>
      </c>
      <c r="E7" s="5" t="s">
        <v>257</v>
      </c>
      <c r="F7" s="5" t="s">
        <v>1469</v>
      </c>
      <c r="G7" s="5" t="s">
        <v>1452</v>
      </c>
      <c r="H7" s="5" t="b">
        <v>1</v>
      </c>
    </row>
    <row r="8">
      <c r="A8" s="5" t="s">
        <v>1473</v>
      </c>
      <c r="B8" s="5" t="s">
        <v>1371</v>
      </c>
      <c r="C8" s="5" t="s">
        <v>1474</v>
      </c>
      <c r="D8" s="5" t="s">
        <v>1475</v>
      </c>
      <c r="E8" s="5" t="s">
        <v>257</v>
      </c>
      <c r="F8" s="5" t="s">
        <v>1469</v>
      </c>
      <c r="G8" s="5" t="s">
        <v>1465</v>
      </c>
      <c r="H8" s="5" t="b">
        <v>1</v>
      </c>
    </row>
    <row r="9">
      <c r="A9" s="5" t="s">
        <v>1476</v>
      </c>
      <c r="B9" s="5" t="s">
        <v>1371</v>
      </c>
      <c r="C9" s="5" t="s">
        <v>1477</v>
      </c>
      <c r="D9" s="5" t="s">
        <v>1478</v>
      </c>
      <c r="E9" s="5" t="s">
        <v>257</v>
      </c>
      <c r="F9" s="5" t="s">
        <v>1469</v>
      </c>
      <c r="G9" s="5" t="s">
        <v>1465</v>
      </c>
      <c r="H9" s="5" t="b">
        <v>1</v>
      </c>
    </row>
    <row r="10">
      <c r="A10" s="5" t="s">
        <v>1479</v>
      </c>
      <c r="B10" s="5" t="s">
        <v>1376</v>
      </c>
      <c r="C10" s="5" t="s">
        <v>1480</v>
      </c>
      <c r="D10" s="5" t="s">
        <v>1481</v>
      </c>
      <c r="E10" s="5" t="s">
        <v>257</v>
      </c>
      <c r="F10" s="5" t="s">
        <v>1377</v>
      </c>
      <c r="G10" s="5" t="s">
        <v>1452</v>
      </c>
      <c r="H10" s="5" t="b">
        <v>1</v>
      </c>
    </row>
    <row r="11">
      <c r="A11" s="5" t="s">
        <v>1482</v>
      </c>
      <c r="B11" s="5" t="s">
        <v>1376</v>
      </c>
      <c r="C11" s="5" t="s">
        <v>1483</v>
      </c>
      <c r="D11" s="5" t="s">
        <v>1484</v>
      </c>
      <c r="E11" s="5" t="s">
        <v>257</v>
      </c>
      <c r="F11" s="5" t="s">
        <v>1377</v>
      </c>
      <c r="G11" s="5" t="s">
        <v>1452</v>
      </c>
      <c r="H11" s="5" t="b">
        <v>1</v>
      </c>
    </row>
    <row r="12">
      <c r="A12" s="5" t="s">
        <v>1485</v>
      </c>
      <c r="B12" s="5" t="s">
        <v>1376</v>
      </c>
      <c r="C12" s="5" t="s">
        <v>1486</v>
      </c>
      <c r="D12" s="5" t="s">
        <v>1487</v>
      </c>
      <c r="E12" s="5" t="s">
        <v>257</v>
      </c>
      <c r="F12" s="5" t="s">
        <v>1377</v>
      </c>
      <c r="G12" s="5" t="s">
        <v>1465</v>
      </c>
      <c r="H12" s="5" t="b">
        <v>1</v>
      </c>
    </row>
    <row r="13">
      <c r="A13" s="5" t="s">
        <v>1488</v>
      </c>
      <c r="B13" s="5" t="s">
        <v>1376</v>
      </c>
      <c r="C13" s="5" t="s">
        <v>1489</v>
      </c>
      <c r="D13" s="5" t="s">
        <v>1490</v>
      </c>
      <c r="E13" s="5" t="s">
        <v>257</v>
      </c>
      <c r="F13" s="5" t="s">
        <v>1377</v>
      </c>
      <c r="G13" s="5" t="s">
        <v>1452</v>
      </c>
      <c r="H13" s="5" t="b">
        <v>1</v>
      </c>
    </row>
    <row r="14">
      <c r="A14" s="5" t="s">
        <v>1491</v>
      </c>
      <c r="B14" s="5" t="s">
        <v>1379</v>
      </c>
      <c r="C14" s="5" t="s">
        <v>1492</v>
      </c>
      <c r="D14" s="5" t="s">
        <v>1493</v>
      </c>
      <c r="E14" s="5" t="s">
        <v>257</v>
      </c>
      <c r="F14" s="5" t="s">
        <v>1494</v>
      </c>
      <c r="G14" s="5" t="s">
        <v>1465</v>
      </c>
      <c r="H14" s="5" t="b">
        <v>1</v>
      </c>
    </row>
    <row r="15">
      <c r="A15" s="5" t="s">
        <v>1495</v>
      </c>
      <c r="B15" s="5" t="s">
        <v>1379</v>
      </c>
      <c r="C15" s="5" t="s">
        <v>1496</v>
      </c>
      <c r="D15" s="5" t="s">
        <v>1497</v>
      </c>
      <c r="E15" s="5" t="s">
        <v>257</v>
      </c>
      <c r="F15" s="5" t="s">
        <v>1494</v>
      </c>
      <c r="G15" s="5" t="s">
        <v>1465</v>
      </c>
      <c r="H15" s="5" t="b">
        <v>1</v>
      </c>
    </row>
    <row r="16">
      <c r="A16" s="5" t="s">
        <v>1498</v>
      </c>
      <c r="B16" s="5" t="s">
        <v>1383</v>
      </c>
      <c r="C16" s="5" t="s">
        <v>1499</v>
      </c>
      <c r="D16" s="5" t="s">
        <v>1500</v>
      </c>
      <c r="E16" s="5" t="s">
        <v>257</v>
      </c>
      <c r="F16" s="5" t="s">
        <v>1501</v>
      </c>
      <c r="G16" s="5" t="s">
        <v>1452</v>
      </c>
      <c r="H16" s="5" t="b">
        <v>1</v>
      </c>
    </row>
    <row r="17">
      <c r="A17" s="5" t="s">
        <v>1502</v>
      </c>
      <c r="B17" s="5" t="s">
        <v>1383</v>
      </c>
      <c r="C17" s="5" t="s">
        <v>1503</v>
      </c>
      <c r="D17" s="5" t="s">
        <v>1504</v>
      </c>
      <c r="E17" s="5" t="s">
        <v>257</v>
      </c>
      <c r="F17" s="5" t="s">
        <v>1501</v>
      </c>
      <c r="G17" s="5" t="s">
        <v>1465</v>
      </c>
      <c r="H17" s="5" t="b">
        <v>1</v>
      </c>
    </row>
    <row r="18">
      <c r="A18" s="5" t="s">
        <v>1505</v>
      </c>
      <c r="B18" s="5" t="s">
        <v>1387</v>
      </c>
      <c r="C18" s="5" t="s">
        <v>1506</v>
      </c>
      <c r="D18" s="5" t="s">
        <v>1507</v>
      </c>
      <c r="E18" s="5" t="s">
        <v>1450</v>
      </c>
      <c r="F18" s="5" t="s">
        <v>1388</v>
      </c>
      <c r="G18" s="5" t="s">
        <v>1452</v>
      </c>
      <c r="H18" s="5" t="b">
        <v>1</v>
      </c>
    </row>
    <row r="19">
      <c r="A19" s="5" t="s">
        <v>1508</v>
      </c>
      <c r="B19" s="5" t="s">
        <v>1387</v>
      </c>
      <c r="C19" s="5" t="s">
        <v>1509</v>
      </c>
      <c r="D19" s="5" t="s">
        <v>1510</v>
      </c>
      <c r="E19" s="5" t="s">
        <v>1450</v>
      </c>
      <c r="F19" s="5" t="s">
        <v>1388</v>
      </c>
      <c r="G19" s="5" t="s">
        <v>1452</v>
      </c>
      <c r="H19" s="5" t="b">
        <v>1</v>
      </c>
    </row>
    <row r="20">
      <c r="A20" s="5" t="s">
        <v>1511</v>
      </c>
      <c r="B20" s="5" t="s">
        <v>1393</v>
      </c>
      <c r="C20" s="5" t="s">
        <v>1512</v>
      </c>
      <c r="D20" s="5" t="s">
        <v>1513</v>
      </c>
      <c r="E20" s="5" t="s">
        <v>257</v>
      </c>
      <c r="F20" s="5" t="s">
        <v>1394</v>
      </c>
      <c r="G20" s="5" t="s">
        <v>1465</v>
      </c>
      <c r="H20" s="5" t="b">
        <v>1</v>
      </c>
    </row>
    <row r="21">
      <c r="A21" s="5" t="s">
        <v>1514</v>
      </c>
      <c r="B21" s="5" t="s">
        <v>1398</v>
      </c>
      <c r="C21" s="5" t="s">
        <v>1515</v>
      </c>
      <c r="D21" s="5" t="s">
        <v>1516</v>
      </c>
      <c r="E21" s="5" t="s">
        <v>257</v>
      </c>
      <c r="F21" s="5" t="s">
        <v>1399</v>
      </c>
      <c r="G21" s="5" t="s">
        <v>1452</v>
      </c>
      <c r="H21" s="5" t="b">
        <v>1</v>
      </c>
    </row>
    <row r="22">
      <c r="A22" s="5" t="s">
        <v>1517</v>
      </c>
      <c r="B22" s="5" t="s">
        <v>1398</v>
      </c>
      <c r="C22" s="5" t="s">
        <v>1518</v>
      </c>
      <c r="D22" s="5" t="s">
        <v>1519</v>
      </c>
      <c r="E22" s="5" t="s">
        <v>257</v>
      </c>
      <c r="F22" s="5" t="s">
        <v>1399</v>
      </c>
      <c r="G22" s="5" t="s">
        <v>1452</v>
      </c>
      <c r="H22" s="5" t="b">
        <v>1</v>
      </c>
    </row>
    <row r="23">
      <c r="A23" s="5" t="s">
        <v>1520</v>
      </c>
      <c r="B23" s="5" t="s">
        <v>1402</v>
      </c>
      <c r="C23" s="5" t="s">
        <v>1521</v>
      </c>
      <c r="D23" s="5" t="s">
        <v>1522</v>
      </c>
      <c r="E23" s="5" t="s">
        <v>257</v>
      </c>
      <c r="F23" s="5" t="s">
        <v>1523</v>
      </c>
      <c r="G23" s="5" t="s">
        <v>1452</v>
      </c>
      <c r="H23" s="5" t="b">
        <v>1</v>
      </c>
    </row>
    <row r="24">
      <c r="A24" s="5" t="s">
        <v>1524</v>
      </c>
      <c r="B24" s="5" t="s">
        <v>1406</v>
      </c>
      <c r="C24" s="5" t="s">
        <v>1525</v>
      </c>
      <c r="D24" s="5" t="s">
        <v>1526</v>
      </c>
      <c r="E24" s="5" t="s">
        <v>257</v>
      </c>
      <c r="F24" s="5" t="s">
        <v>1407</v>
      </c>
      <c r="G24" s="5" t="s">
        <v>1465</v>
      </c>
      <c r="H24" s="5" t="b">
        <v>1</v>
      </c>
    </row>
    <row r="25">
      <c r="A25" s="5" t="s">
        <v>1527</v>
      </c>
      <c r="B25" s="5" t="s">
        <v>1410</v>
      </c>
      <c r="C25" s="5" t="s">
        <v>1528</v>
      </c>
      <c r="D25" s="5" t="s">
        <v>1529</v>
      </c>
      <c r="E25" s="5" t="s">
        <v>257</v>
      </c>
      <c r="F25" s="5" t="s">
        <v>1530</v>
      </c>
      <c r="G25" s="5" t="s">
        <v>1465</v>
      </c>
      <c r="H25" s="5" t="b">
        <v>1</v>
      </c>
    </row>
    <row r="26">
      <c r="A26" s="5" t="s">
        <v>1531</v>
      </c>
      <c r="B26" s="5" t="s">
        <v>1410</v>
      </c>
      <c r="C26" s="5" t="s">
        <v>1532</v>
      </c>
      <c r="D26" s="5" t="s">
        <v>1533</v>
      </c>
      <c r="E26" s="5" t="s">
        <v>257</v>
      </c>
      <c r="F26" s="5" t="s">
        <v>1530</v>
      </c>
      <c r="G26" s="5" t="s">
        <v>1465</v>
      </c>
      <c r="H26" s="5" t="b">
        <v>1</v>
      </c>
    </row>
    <row r="27">
      <c r="A27" s="5" t="s">
        <v>1534</v>
      </c>
      <c r="B27" s="5" t="s">
        <v>1414</v>
      </c>
      <c r="C27" s="5" t="s">
        <v>1535</v>
      </c>
      <c r="D27" s="5" t="s">
        <v>1536</v>
      </c>
      <c r="E27" s="5" t="s">
        <v>257</v>
      </c>
      <c r="F27" s="5" t="s">
        <v>1537</v>
      </c>
      <c r="G27" s="5" t="s">
        <v>1452</v>
      </c>
      <c r="H27" s="5" t="b">
        <v>1</v>
      </c>
    </row>
    <row r="28">
      <c r="A28" s="5" t="s">
        <v>1538</v>
      </c>
      <c r="B28" s="5" t="s">
        <v>1418</v>
      </c>
      <c r="C28" s="5" t="s">
        <v>1539</v>
      </c>
      <c r="D28" s="5" t="s">
        <v>1540</v>
      </c>
      <c r="E28" s="5" t="s">
        <v>257</v>
      </c>
      <c r="F28" s="5" t="s">
        <v>1541</v>
      </c>
      <c r="G28" s="5" t="s">
        <v>1465</v>
      </c>
      <c r="H28" s="5" t="b">
        <v>1</v>
      </c>
    </row>
    <row r="29">
      <c r="A29" s="5" t="s">
        <v>1542</v>
      </c>
      <c r="B29" s="5" t="s">
        <v>1418</v>
      </c>
      <c r="C29" s="5" t="s">
        <v>1543</v>
      </c>
      <c r="D29" s="5" t="s">
        <v>1544</v>
      </c>
      <c r="E29" s="5" t="s">
        <v>257</v>
      </c>
      <c r="F29" s="5" t="s">
        <v>1541</v>
      </c>
      <c r="G29" s="5" t="s">
        <v>1452</v>
      </c>
      <c r="H29" s="5" t="b">
        <v>1</v>
      </c>
    </row>
    <row r="30">
      <c r="A30" s="5" t="s">
        <v>1545</v>
      </c>
      <c r="B30" s="5" t="s">
        <v>1423</v>
      </c>
      <c r="C30" s="5" t="s">
        <v>1539</v>
      </c>
      <c r="D30" s="5" t="s">
        <v>1540</v>
      </c>
      <c r="E30" s="5" t="s">
        <v>257</v>
      </c>
      <c r="F30" s="5" t="s">
        <v>1541</v>
      </c>
      <c r="G30" s="5" t="s">
        <v>1465</v>
      </c>
      <c r="H30" s="5" t="b">
        <v>1</v>
      </c>
    </row>
    <row r="31">
      <c r="A31" s="5" t="s">
        <v>1546</v>
      </c>
      <c r="B31" s="5" t="s">
        <v>1423</v>
      </c>
      <c r="C31" s="5" t="s">
        <v>1543</v>
      </c>
      <c r="D31" s="5" t="s">
        <v>1544</v>
      </c>
      <c r="E31" s="5" t="s">
        <v>257</v>
      </c>
      <c r="F31" s="5" t="s">
        <v>1541</v>
      </c>
      <c r="G31" s="5" t="s">
        <v>1452</v>
      </c>
      <c r="H31" s="5" t="b">
        <v>1</v>
      </c>
    </row>
    <row r="32">
      <c r="A32" s="5" t="s">
        <v>1547</v>
      </c>
      <c r="B32" s="5" t="s">
        <v>1426</v>
      </c>
      <c r="C32" s="5" t="s">
        <v>1539</v>
      </c>
      <c r="D32" s="5" t="s">
        <v>1540</v>
      </c>
      <c r="E32" s="5" t="s">
        <v>257</v>
      </c>
      <c r="F32" s="5" t="s">
        <v>1541</v>
      </c>
      <c r="G32" s="5" t="s">
        <v>1465</v>
      </c>
      <c r="H32" s="5" t="b">
        <v>1</v>
      </c>
    </row>
    <row r="33">
      <c r="A33" s="5" t="s">
        <v>1548</v>
      </c>
      <c r="B33" s="5" t="s">
        <v>1426</v>
      </c>
      <c r="C33" s="5" t="s">
        <v>1543</v>
      </c>
      <c r="D33" s="5" t="s">
        <v>1544</v>
      </c>
      <c r="E33" s="5" t="s">
        <v>257</v>
      </c>
      <c r="F33" s="5" t="s">
        <v>1541</v>
      </c>
      <c r="G33" s="5" t="s">
        <v>1452</v>
      </c>
      <c r="H33" s="5" t="b">
        <v>1</v>
      </c>
    </row>
    <row r="34">
      <c r="A34" s="5" t="s">
        <v>1549</v>
      </c>
      <c r="B34" s="5" t="s">
        <v>1429</v>
      </c>
      <c r="C34" s="5" t="s">
        <v>1539</v>
      </c>
      <c r="D34" s="5" t="s">
        <v>1540</v>
      </c>
      <c r="E34" s="5" t="s">
        <v>257</v>
      </c>
      <c r="F34" s="5" t="s">
        <v>1541</v>
      </c>
      <c r="G34" s="5" t="s">
        <v>1465</v>
      </c>
      <c r="H34" s="5" t="b">
        <v>1</v>
      </c>
    </row>
    <row r="35">
      <c r="A35" s="5" t="s">
        <v>1550</v>
      </c>
      <c r="B35" s="5" t="s">
        <v>1429</v>
      </c>
      <c r="C35" s="5" t="s">
        <v>1543</v>
      </c>
      <c r="D35" s="5" t="s">
        <v>1544</v>
      </c>
      <c r="E35" s="5" t="s">
        <v>257</v>
      </c>
      <c r="F35" s="5" t="s">
        <v>1541</v>
      </c>
      <c r="G35" s="5" t="s">
        <v>1452</v>
      </c>
      <c r="H35" s="5" t="b">
        <v>1</v>
      </c>
    </row>
    <row r="36">
      <c r="A36" s="5" t="s">
        <v>1551</v>
      </c>
      <c r="B36" s="5" t="s">
        <v>1432</v>
      </c>
      <c r="C36" s="5" t="s">
        <v>1539</v>
      </c>
      <c r="D36" s="5" t="s">
        <v>1540</v>
      </c>
      <c r="E36" s="5" t="s">
        <v>257</v>
      </c>
      <c r="F36" s="5" t="s">
        <v>1541</v>
      </c>
      <c r="G36" s="5" t="s">
        <v>1465</v>
      </c>
      <c r="H36" s="5" t="b">
        <v>1</v>
      </c>
    </row>
    <row r="37">
      <c r="A37" s="5" t="s">
        <v>1552</v>
      </c>
      <c r="B37" s="5" t="s">
        <v>1432</v>
      </c>
      <c r="C37" s="5" t="s">
        <v>1543</v>
      </c>
      <c r="D37" s="5" t="s">
        <v>1544</v>
      </c>
      <c r="E37" s="5" t="s">
        <v>257</v>
      </c>
      <c r="F37" s="5" t="s">
        <v>1541</v>
      </c>
      <c r="G37" s="5" t="s">
        <v>1452</v>
      </c>
      <c r="H37" s="5" t="b">
        <v>1</v>
      </c>
    </row>
    <row r="38">
      <c r="A38" s="5" t="s">
        <v>1553</v>
      </c>
      <c r="B38" s="5" t="s">
        <v>1435</v>
      </c>
      <c r="C38" s="5" t="s">
        <v>1539</v>
      </c>
      <c r="D38" s="5" t="s">
        <v>1540</v>
      </c>
      <c r="E38" s="5" t="s">
        <v>257</v>
      </c>
      <c r="F38" s="5" t="s">
        <v>1541</v>
      </c>
      <c r="G38" s="5" t="s">
        <v>1465</v>
      </c>
      <c r="H38" s="5" t="b">
        <v>1</v>
      </c>
    </row>
    <row r="39">
      <c r="A39" s="5" t="s">
        <v>1554</v>
      </c>
      <c r="B39" s="5" t="s">
        <v>1435</v>
      </c>
      <c r="C39" s="5" t="s">
        <v>1543</v>
      </c>
      <c r="D39" s="5" t="s">
        <v>1544</v>
      </c>
      <c r="E39" s="5" t="s">
        <v>257</v>
      </c>
      <c r="F39" s="5" t="s">
        <v>1541</v>
      </c>
      <c r="G39" s="5" t="s">
        <v>1452</v>
      </c>
      <c r="H39" s="5" t="b">
        <v>1</v>
      </c>
    </row>
    <row r="40">
      <c r="A40" s="5" t="s">
        <v>1555</v>
      </c>
      <c r="B40" s="5" t="s">
        <v>1438</v>
      </c>
      <c r="C40" s="5" t="s">
        <v>1539</v>
      </c>
      <c r="D40" s="5" t="s">
        <v>1540</v>
      </c>
      <c r="E40" s="5" t="s">
        <v>257</v>
      </c>
      <c r="F40" s="5" t="s">
        <v>1541</v>
      </c>
      <c r="G40" s="5" t="s">
        <v>1465</v>
      </c>
      <c r="H40" s="5" t="b">
        <v>1</v>
      </c>
    </row>
    <row r="41">
      <c r="A41" s="5" t="s">
        <v>1556</v>
      </c>
      <c r="B41" s="5" t="s">
        <v>1438</v>
      </c>
      <c r="C41" s="5" t="s">
        <v>1543</v>
      </c>
      <c r="D41" s="5" t="s">
        <v>1544</v>
      </c>
      <c r="E41" s="5" t="s">
        <v>257</v>
      </c>
      <c r="F41" s="5" t="s">
        <v>1541</v>
      </c>
      <c r="G41" s="5" t="s">
        <v>1452</v>
      </c>
      <c r="H41" s="5" t="b">
        <v>1</v>
      </c>
    </row>
    <row r="42">
      <c r="A42" s="5" t="s">
        <v>1557</v>
      </c>
      <c r="B42" s="5" t="s">
        <v>1441</v>
      </c>
      <c r="C42" s="5" t="s">
        <v>1539</v>
      </c>
      <c r="D42" s="5" t="s">
        <v>1540</v>
      </c>
      <c r="E42" s="5" t="s">
        <v>257</v>
      </c>
      <c r="F42" s="5" t="s">
        <v>1541</v>
      </c>
      <c r="G42" s="5" t="s">
        <v>1465</v>
      </c>
      <c r="H42" s="5" t="b">
        <v>1</v>
      </c>
    </row>
    <row r="43">
      <c r="A43" s="5" t="s">
        <v>1558</v>
      </c>
      <c r="B43" s="5" t="s">
        <v>1441</v>
      </c>
      <c r="C43" s="5" t="s">
        <v>1543</v>
      </c>
      <c r="D43" s="5" t="s">
        <v>1544</v>
      </c>
      <c r="E43" s="5" t="s">
        <v>257</v>
      </c>
      <c r="F43" s="5" t="s">
        <v>1541</v>
      </c>
      <c r="G43" s="5" t="s">
        <v>1452</v>
      </c>
      <c r="H43" s="5" t="b">
        <v>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7.63"/>
  </cols>
  <sheetData>
    <row r="1">
      <c r="A1" s="22" t="s">
        <v>1559</v>
      </c>
      <c r="B1" s="22" t="s">
        <v>1560</v>
      </c>
      <c r="C1" s="22" t="s">
        <v>1561</v>
      </c>
      <c r="D1" s="22" t="s">
        <v>777</v>
      </c>
      <c r="E1" s="22" t="s">
        <v>1562</v>
      </c>
      <c r="F1" s="22" t="s">
        <v>94</v>
      </c>
      <c r="G1" s="22" t="s">
        <v>1344</v>
      </c>
      <c r="H1" s="22" t="s">
        <v>1563</v>
      </c>
      <c r="I1" s="22" t="s">
        <v>349</v>
      </c>
      <c r="J1" s="22" t="s">
        <v>369</v>
      </c>
    </row>
    <row r="2">
      <c r="A2" s="5" t="s">
        <v>1564</v>
      </c>
      <c r="B2" s="5" t="s">
        <v>298</v>
      </c>
      <c r="C2" s="5" t="s">
        <v>1565</v>
      </c>
      <c r="D2" s="5" t="s">
        <v>26</v>
      </c>
      <c r="E2" s="5" t="s">
        <v>1566</v>
      </c>
      <c r="F2" s="25" t="s">
        <v>1567</v>
      </c>
      <c r="G2" s="17" t="s">
        <v>1568</v>
      </c>
      <c r="H2" s="26" t="s">
        <v>1569</v>
      </c>
      <c r="I2" s="5" t="s">
        <v>1570</v>
      </c>
      <c r="J2" s="5" t="b">
        <v>1</v>
      </c>
    </row>
    <row r="3">
      <c r="A3" s="5" t="s">
        <v>1571</v>
      </c>
      <c r="B3" s="5" t="s">
        <v>252</v>
      </c>
      <c r="C3" s="5" t="s">
        <v>1572</v>
      </c>
      <c r="D3" s="5" t="s">
        <v>30</v>
      </c>
      <c r="E3" s="5" t="s">
        <v>1573</v>
      </c>
      <c r="F3" s="25" t="s">
        <v>1567</v>
      </c>
      <c r="G3" s="17" t="s">
        <v>1574</v>
      </c>
      <c r="H3" s="26" t="s">
        <v>1575</v>
      </c>
      <c r="I3" s="5" t="s">
        <v>1576</v>
      </c>
      <c r="J3" s="5" t="b">
        <v>1</v>
      </c>
    </row>
    <row r="4">
      <c r="A4" s="5" t="s">
        <v>1577</v>
      </c>
      <c r="B4" s="5" t="s">
        <v>257</v>
      </c>
      <c r="C4" s="5" t="s">
        <v>1578</v>
      </c>
      <c r="D4" s="5" t="s">
        <v>1350</v>
      </c>
      <c r="E4" s="5" t="s">
        <v>1579</v>
      </c>
      <c r="F4" s="25" t="s">
        <v>1567</v>
      </c>
      <c r="G4" s="17" t="s">
        <v>1580</v>
      </c>
      <c r="H4" s="26" t="s">
        <v>1581</v>
      </c>
      <c r="I4" s="5" t="s">
        <v>1582</v>
      </c>
      <c r="J4" s="5" t="b">
        <v>1</v>
      </c>
    </row>
    <row r="5">
      <c r="A5" s="9" t="s">
        <v>1583</v>
      </c>
      <c r="B5" s="9" t="s">
        <v>1450</v>
      </c>
      <c r="C5" s="9" t="s">
        <v>1584</v>
      </c>
      <c r="D5" s="9" t="s">
        <v>1390</v>
      </c>
      <c r="E5" s="9" t="s">
        <v>1585</v>
      </c>
      <c r="F5" s="9" t="s">
        <v>1567</v>
      </c>
      <c r="G5" s="19" t="s">
        <v>1586</v>
      </c>
      <c r="H5" s="27" t="s">
        <v>1587</v>
      </c>
      <c r="I5" s="9" t="s">
        <v>1588</v>
      </c>
      <c r="J5" s="9" t="b">
        <v>1</v>
      </c>
    </row>
    <row r="6">
      <c r="A6" s="9" t="s">
        <v>1589</v>
      </c>
      <c r="B6" s="9" t="s">
        <v>1590</v>
      </c>
      <c r="C6" s="9" t="s">
        <v>1591</v>
      </c>
      <c r="D6" s="9" t="s">
        <v>329</v>
      </c>
      <c r="E6" s="9" t="s">
        <v>1592</v>
      </c>
      <c r="F6" s="9" t="s">
        <v>332</v>
      </c>
      <c r="G6" s="19" t="s">
        <v>255</v>
      </c>
      <c r="H6" s="9"/>
      <c r="I6" s="9" t="s">
        <v>1593</v>
      </c>
      <c r="J6" s="9" t="b">
        <v>1</v>
      </c>
    </row>
  </sheetData>
  <hyperlinks>
    <hyperlink r:id="rId1" ref="H2"/>
    <hyperlink r:id="rId2" ref="H3"/>
    <hyperlink r:id="rId3" ref="H4"/>
    <hyperlink r:id="rId4" ref="H5"/>
  </hyperlinks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7.63"/>
    <col customWidth="1" min="4" max="4" width="22.63"/>
    <col customWidth="1" min="5" max="5" width="52.63"/>
    <col customWidth="1" min="6" max="7" width="35.13"/>
    <col customWidth="1" min="8" max="8" width="17.63"/>
  </cols>
  <sheetData>
    <row r="1">
      <c r="A1" s="24" t="s">
        <v>1594</v>
      </c>
      <c r="B1" s="24" t="s">
        <v>1560</v>
      </c>
      <c r="C1" s="24" t="s">
        <v>1595</v>
      </c>
      <c r="D1" s="24" t="s">
        <v>1596</v>
      </c>
      <c r="E1" s="24" t="s">
        <v>1597</v>
      </c>
      <c r="F1" s="24" t="s">
        <v>1598</v>
      </c>
      <c r="G1" s="24" t="s">
        <v>1599</v>
      </c>
      <c r="H1" s="24" t="s">
        <v>369</v>
      </c>
    </row>
    <row r="2">
      <c r="A2" s="5" t="s">
        <v>1600</v>
      </c>
      <c r="B2" s="5" t="s">
        <v>252</v>
      </c>
      <c r="C2" s="5">
        <v>4.1</v>
      </c>
      <c r="D2" s="5" t="s">
        <v>1601</v>
      </c>
      <c r="E2" s="5" t="s">
        <v>1602</v>
      </c>
      <c r="F2" s="5" t="s">
        <v>1603</v>
      </c>
      <c r="G2" s="5" t="s">
        <v>1604</v>
      </c>
      <c r="H2" s="5" t="b">
        <v>1</v>
      </c>
    </row>
    <row r="3">
      <c r="A3" s="5" t="s">
        <v>1605</v>
      </c>
      <c r="B3" s="5" t="s">
        <v>252</v>
      </c>
      <c r="C3" s="5">
        <v>4.2</v>
      </c>
      <c r="D3" s="5" t="s">
        <v>1606</v>
      </c>
      <c r="E3" s="5" t="s">
        <v>1607</v>
      </c>
      <c r="F3" s="5" t="s">
        <v>1608</v>
      </c>
      <c r="G3" s="5" t="s">
        <v>1609</v>
      </c>
      <c r="H3" s="5" t="b">
        <v>1</v>
      </c>
    </row>
    <row r="4">
      <c r="A4" s="5" t="s">
        <v>1610</v>
      </c>
      <c r="B4" s="5" t="s">
        <v>252</v>
      </c>
      <c r="C4" s="5">
        <v>4.3</v>
      </c>
      <c r="D4" s="5" t="s">
        <v>1611</v>
      </c>
      <c r="E4" s="5" t="s">
        <v>1612</v>
      </c>
      <c r="F4" s="5" t="s">
        <v>1613</v>
      </c>
      <c r="G4" s="7"/>
      <c r="H4" s="5" t="b">
        <v>1</v>
      </c>
    </row>
    <row r="5">
      <c r="A5" s="5" t="s">
        <v>1614</v>
      </c>
      <c r="B5" s="5" t="s">
        <v>252</v>
      </c>
      <c r="C5" s="5">
        <v>4.4</v>
      </c>
      <c r="D5" s="5" t="s">
        <v>1615</v>
      </c>
      <c r="E5" s="5" t="s">
        <v>1616</v>
      </c>
      <c r="F5" s="5" t="s">
        <v>1617</v>
      </c>
      <c r="G5" s="7"/>
      <c r="H5" s="5" t="b">
        <v>1</v>
      </c>
    </row>
    <row r="6">
      <c r="A6" s="5" t="s">
        <v>1618</v>
      </c>
      <c r="B6" s="5" t="s">
        <v>252</v>
      </c>
      <c r="C6" s="5" t="s">
        <v>1619</v>
      </c>
      <c r="D6" s="5" t="s">
        <v>1620</v>
      </c>
      <c r="E6" s="5" t="s">
        <v>1621</v>
      </c>
      <c r="F6" s="5" t="s">
        <v>1622</v>
      </c>
      <c r="G6" s="7"/>
      <c r="H6" s="5" t="b">
        <v>1</v>
      </c>
    </row>
    <row r="7">
      <c r="A7" s="5" t="s">
        <v>1623</v>
      </c>
      <c r="B7" s="5" t="s">
        <v>252</v>
      </c>
      <c r="C7" s="5" t="s">
        <v>1624</v>
      </c>
      <c r="D7" s="5" t="s">
        <v>1625</v>
      </c>
      <c r="E7" s="5" t="s">
        <v>1626</v>
      </c>
      <c r="F7" s="5" t="s">
        <v>1627</v>
      </c>
      <c r="G7" s="7"/>
      <c r="H7" s="5" t="b">
        <v>1</v>
      </c>
    </row>
    <row r="8">
      <c r="A8" s="5" t="s">
        <v>1628</v>
      </c>
      <c r="B8" s="5" t="s">
        <v>252</v>
      </c>
      <c r="C8" s="5">
        <v>5.2</v>
      </c>
      <c r="D8" s="5" t="s">
        <v>1629</v>
      </c>
      <c r="E8" s="5" t="s">
        <v>1630</v>
      </c>
      <c r="F8" s="5" t="s">
        <v>1631</v>
      </c>
      <c r="G8" s="7"/>
      <c r="H8" s="5" t="b">
        <v>1</v>
      </c>
    </row>
    <row r="9">
      <c r="A9" s="5" t="s">
        <v>1632</v>
      </c>
      <c r="B9" s="5" t="s">
        <v>252</v>
      </c>
      <c r="C9" s="5">
        <v>5.3</v>
      </c>
      <c r="D9" s="5" t="s">
        <v>1633</v>
      </c>
      <c r="E9" s="5" t="s">
        <v>1634</v>
      </c>
      <c r="F9" s="5" t="s">
        <v>1635</v>
      </c>
      <c r="G9" s="7"/>
      <c r="H9" s="5" t="b">
        <v>1</v>
      </c>
    </row>
    <row r="10">
      <c r="A10" s="5" t="s">
        <v>1636</v>
      </c>
      <c r="B10" s="5" t="s">
        <v>252</v>
      </c>
      <c r="C10" s="5">
        <v>6.1</v>
      </c>
      <c r="D10" s="5" t="s">
        <v>1637</v>
      </c>
      <c r="E10" s="5" t="s">
        <v>1638</v>
      </c>
      <c r="F10" s="5" t="s">
        <v>1639</v>
      </c>
      <c r="G10" s="7"/>
      <c r="H10" s="5" t="b">
        <v>1</v>
      </c>
    </row>
    <row r="11">
      <c r="A11" s="5" t="s">
        <v>1640</v>
      </c>
      <c r="B11" s="5" t="s">
        <v>252</v>
      </c>
      <c r="C11" s="5">
        <v>6.2</v>
      </c>
      <c r="D11" s="5" t="s">
        <v>1641</v>
      </c>
      <c r="E11" s="5" t="s">
        <v>1642</v>
      </c>
      <c r="F11" s="5" t="s">
        <v>1643</v>
      </c>
      <c r="G11" s="7"/>
      <c r="H11" s="5" t="b">
        <v>1</v>
      </c>
    </row>
    <row r="12">
      <c r="A12" s="5" t="s">
        <v>1644</v>
      </c>
      <c r="B12" s="5" t="s">
        <v>252</v>
      </c>
      <c r="C12" s="5">
        <v>6.3</v>
      </c>
      <c r="D12" s="5" t="s">
        <v>1645</v>
      </c>
      <c r="E12" s="5" t="s">
        <v>1646</v>
      </c>
      <c r="F12" s="5" t="s">
        <v>1647</v>
      </c>
      <c r="G12" s="7"/>
      <c r="H12" s="5" t="b">
        <v>1</v>
      </c>
    </row>
    <row r="13">
      <c r="A13" s="5" t="s">
        <v>1648</v>
      </c>
      <c r="B13" s="5" t="s">
        <v>252</v>
      </c>
      <c r="C13" s="5" t="s">
        <v>1649</v>
      </c>
      <c r="D13" s="5" t="s">
        <v>1650</v>
      </c>
      <c r="E13" s="5" t="s">
        <v>1651</v>
      </c>
      <c r="F13" s="5" t="s">
        <v>1652</v>
      </c>
      <c r="G13" s="7"/>
      <c r="H13" s="5" t="b">
        <v>1</v>
      </c>
    </row>
    <row r="14">
      <c r="A14" s="5" t="s">
        <v>1653</v>
      </c>
      <c r="B14" s="5" t="s">
        <v>252</v>
      </c>
      <c r="C14" s="5" t="s">
        <v>1654</v>
      </c>
      <c r="D14" s="5" t="s">
        <v>1655</v>
      </c>
      <c r="E14" s="5" t="s">
        <v>1656</v>
      </c>
      <c r="F14" s="5" t="s">
        <v>1657</v>
      </c>
      <c r="G14" s="7"/>
      <c r="H14" s="5" t="b">
        <v>1</v>
      </c>
    </row>
    <row r="15">
      <c r="A15" s="5" t="s">
        <v>1658</v>
      </c>
      <c r="B15" s="5" t="s">
        <v>252</v>
      </c>
      <c r="C15" s="5" t="s">
        <v>1659</v>
      </c>
      <c r="D15" s="5" t="s">
        <v>1660</v>
      </c>
      <c r="E15" s="5" t="s">
        <v>1661</v>
      </c>
      <c r="F15" s="5" t="s">
        <v>1662</v>
      </c>
      <c r="G15" s="7"/>
      <c r="H15" s="5" t="b">
        <v>1</v>
      </c>
    </row>
    <row r="16">
      <c r="A16" s="5" t="s">
        <v>1663</v>
      </c>
      <c r="B16" s="5" t="s">
        <v>252</v>
      </c>
      <c r="C16" s="5" t="s">
        <v>1664</v>
      </c>
      <c r="D16" s="5" t="s">
        <v>1665</v>
      </c>
      <c r="E16" s="5" t="s">
        <v>1666</v>
      </c>
      <c r="F16" s="5" t="s">
        <v>1667</v>
      </c>
      <c r="G16" s="7"/>
      <c r="H16" s="5" t="b">
        <v>1</v>
      </c>
    </row>
    <row r="17">
      <c r="A17" s="5" t="s">
        <v>1668</v>
      </c>
      <c r="B17" s="5" t="s">
        <v>252</v>
      </c>
      <c r="C17" s="5" t="s">
        <v>1669</v>
      </c>
      <c r="D17" s="5" t="s">
        <v>1670</v>
      </c>
      <c r="E17" s="5" t="s">
        <v>1671</v>
      </c>
      <c r="F17" s="5" t="s">
        <v>1672</v>
      </c>
      <c r="G17" s="7"/>
      <c r="H17" s="5" t="b">
        <v>1</v>
      </c>
    </row>
    <row r="18">
      <c r="A18" s="5" t="s">
        <v>1673</v>
      </c>
      <c r="B18" s="5" t="s">
        <v>252</v>
      </c>
      <c r="C18" s="5" t="s">
        <v>1674</v>
      </c>
      <c r="D18" s="5" t="s">
        <v>1675</v>
      </c>
      <c r="E18" s="5" t="s">
        <v>1676</v>
      </c>
      <c r="F18" s="5" t="s">
        <v>1677</v>
      </c>
      <c r="G18" s="7"/>
      <c r="H18" s="5" t="b">
        <v>1</v>
      </c>
    </row>
    <row r="19">
      <c r="A19" s="5" t="s">
        <v>1678</v>
      </c>
      <c r="B19" s="5" t="s">
        <v>252</v>
      </c>
      <c r="C19" s="5">
        <v>7.2</v>
      </c>
      <c r="D19" s="5" t="s">
        <v>1679</v>
      </c>
      <c r="E19" s="5" t="s">
        <v>1680</v>
      </c>
      <c r="F19" s="5" t="s">
        <v>1681</v>
      </c>
      <c r="G19" s="7"/>
      <c r="H19" s="5" t="b">
        <v>1</v>
      </c>
    </row>
    <row r="20">
      <c r="A20" s="5" t="s">
        <v>1682</v>
      </c>
      <c r="B20" s="5" t="s">
        <v>252</v>
      </c>
      <c r="C20" s="5">
        <v>7.3</v>
      </c>
      <c r="D20" s="5" t="s">
        <v>1683</v>
      </c>
      <c r="E20" s="5" t="s">
        <v>1684</v>
      </c>
      <c r="F20" s="5" t="s">
        <v>1685</v>
      </c>
      <c r="G20" s="7"/>
      <c r="H20" s="5" t="b">
        <v>1</v>
      </c>
    </row>
    <row r="21">
      <c r="A21" s="5" t="s">
        <v>1686</v>
      </c>
      <c r="B21" s="5" t="s">
        <v>252</v>
      </c>
      <c r="C21" s="5">
        <v>7.4</v>
      </c>
      <c r="D21" s="5" t="s">
        <v>1687</v>
      </c>
      <c r="E21" s="5" t="s">
        <v>1688</v>
      </c>
      <c r="F21" s="5" t="s">
        <v>1689</v>
      </c>
      <c r="G21" s="7"/>
      <c r="H21" s="5" t="b">
        <v>1</v>
      </c>
    </row>
    <row r="22">
      <c r="A22" s="5" t="s">
        <v>1690</v>
      </c>
      <c r="B22" s="5" t="s">
        <v>252</v>
      </c>
      <c r="C22" s="5" t="s">
        <v>1691</v>
      </c>
      <c r="D22" s="5" t="s">
        <v>1692</v>
      </c>
      <c r="E22" s="5" t="s">
        <v>1693</v>
      </c>
      <c r="F22" s="5" t="s">
        <v>1694</v>
      </c>
      <c r="G22" s="7"/>
      <c r="H22" s="5" t="b">
        <v>1</v>
      </c>
    </row>
    <row r="23">
      <c r="A23" s="5" t="s">
        <v>1695</v>
      </c>
      <c r="B23" s="5" t="s">
        <v>252</v>
      </c>
      <c r="C23" s="5" t="s">
        <v>1696</v>
      </c>
      <c r="D23" s="5" t="s">
        <v>1697</v>
      </c>
      <c r="E23" s="5" t="s">
        <v>1698</v>
      </c>
      <c r="F23" s="5" t="s">
        <v>1699</v>
      </c>
      <c r="G23" s="7"/>
      <c r="H23" s="5" t="b">
        <v>1</v>
      </c>
    </row>
    <row r="24">
      <c r="A24" s="5" t="s">
        <v>1700</v>
      </c>
      <c r="B24" s="5" t="s">
        <v>252</v>
      </c>
      <c r="C24" s="5" t="s">
        <v>1701</v>
      </c>
      <c r="D24" s="5" t="s">
        <v>1702</v>
      </c>
      <c r="E24" s="5" t="s">
        <v>1703</v>
      </c>
      <c r="F24" s="5" t="s">
        <v>1704</v>
      </c>
      <c r="G24" s="7"/>
      <c r="H24" s="5" t="b">
        <v>1</v>
      </c>
    </row>
    <row r="25">
      <c r="A25" s="5" t="s">
        <v>1705</v>
      </c>
      <c r="B25" s="5" t="s">
        <v>252</v>
      </c>
      <c r="C25" s="5">
        <v>8.1</v>
      </c>
      <c r="D25" s="5" t="s">
        <v>1706</v>
      </c>
      <c r="E25" s="5" t="s">
        <v>1707</v>
      </c>
      <c r="F25" s="5" t="s">
        <v>1708</v>
      </c>
      <c r="G25" s="7"/>
      <c r="H25" s="5" t="b">
        <v>1</v>
      </c>
    </row>
    <row r="26">
      <c r="A26" s="5" t="s">
        <v>1709</v>
      </c>
      <c r="B26" s="5" t="s">
        <v>252</v>
      </c>
      <c r="C26" s="5">
        <v>8.2</v>
      </c>
      <c r="D26" s="5" t="s">
        <v>1710</v>
      </c>
      <c r="E26" s="5" t="s">
        <v>1711</v>
      </c>
      <c r="F26" s="5" t="s">
        <v>1712</v>
      </c>
      <c r="G26" s="7"/>
      <c r="H26" s="5" t="b">
        <v>1</v>
      </c>
    </row>
    <row r="27">
      <c r="A27" s="5" t="s">
        <v>1713</v>
      </c>
      <c r="B27" s="5" t="s">
        <v>252</v>
      </c>
      <c r="C27" s="5">
        <v>8.3</v>
      </c>
      <c r="D27" s="5" t="s">
        <v>1714</v>
      </c>
      <c r="E27" s="5" t="s">
        <v>1715</v>
      </c>
      <c r="F27" s="5" t="s">
        <v>1716</v>
      </c>
      <c r="G27" s="7"/>
      <c r="H27" s="5" t="b">
        <v>1</v>
      </c>
    </row>
    <row r="28">
      <c r="A28" s="5" t="s">
        <v>1717</v>
      </c>
      <c r="B28" s="5" t="s">
        <v>252</v>
      </c>
      <c r="C28" s="5">
        <v>8.4</v>
      </c>
      <c r="D28" s="5" t="s">
        <v>1718</v>
      </c>
      <c r="E28" s="5" t="s">
        <v>1719</v>
      </c>
      <c r="F28" s="5" t="s">
        <v>1720</v>
      </c>
      <c r="G28" s="7"/>
      <c r="H28" s="5" t="b">
        <v>1</v>
      </c>
    </row>
    <row r="29">
      <c r="A29" s="5" t="s">
        <v>1721</v>
      </c>
      <c r="B29" s="5" t="s">
        <v>252</v>
      </c>
      <c r="C29" s="5" t="s">
        <v>1722</v>
      </c>
      <c r="D29" s="5" t="s">
        <v>1723</v>
      </c>
      <c r="E29" s="5" t="s">
        <v>1724</v>
      </c>
      <c r="F29" s="5" t="s">
        <v>1725</v>
      </c>
      <c r="G29" s="7"/>
      <c r="H29" s="5" t="b">
        <v>1</v>
      </c>
    </row>
    <row r="30">
      <c r="A30" s="5" t="s">
        <v>1726</v>
      </c>
      <c r="B30" s="5" t="s">
        <v>252</v>
      </c>
      <c r="C30" s="5" t="s">
        <v>1727</v>
      </c>
      <c r="D30" s="5" t="s">
        <v>1728</v>
      </c>
      <c r="E30" s="5" t="s">
        <v>1729</v>
      </c>
      <c r="F30" s="5" t="s">
        <v>1730</v>
      </c>
      <c r="G30" s="7"/>
      <c r="H30" s="5" t="b">
        <v>1</v>
      </c>
    </row>
    <row r="31">
      <c r="A31" s="5" t="s">
        <v>1731</v>
      </c>
      <c r="B31" s="5" t="s">
        <v>252</v>
      </c>
      <c r="C31" s="5" t="s">
        <v>1732</v>
      </c>
      <c r="D31" s="5" t="s">
        <v>1733</v>
      </c>
      <c r="E31" s="5" t="s">
        <v>1734</v>
      </c>
      <c r="F31" s="5" t="s">
        <v>1735</v>
      </c>
      <c r="G31" s="7"/>
      <c r="H31" s="5" t="b">
        <v>1</v>
      </c>
    </row>
    <row r="32">
      <c r="A32" s="5" t="s">
        <v>1736</v>
      </c>
      <c r="B32" s="5" t="s">
        <v>252</v>
      </c>
      <c r="C32" s="5" t="s">
        <v>1737</v>
      </c>
      <c r="D32" s="5" t="s">
        <v>1738</v>
      </c>
      <c r="E32" s="5" t="s">
        <v>1739</v>
      </c>
      <c r="F32" s="5" t="s">
        <v>1740</v>
      </c>
      <c r="G32" s="7"/>
      <c r="H32" s="5" t="b">
        <v>1</v>
      </c>
    </row>
    <row r="33">
      <c r="A33" s="5" t="s">
        <v>1741</v>
      </c>
      <c r="B33" s="5" t="s">
        <v>252</v>
      </c>
      <c r="C33" s="5" t="s">
        <v>1742</v>
      </c>
      <c r="D33" s="5" t="s">
        <v>1743</v>
      </c>
      <c r="E33" s="5" t="s">
        <v>1744</v>
      </c>
      <c r="F33" s="5" t="s">
        <v>1745</v>
      </c>
      <c r="G33" s="7"/>
      <c r="H33" s="5" t="b">
        <v>1</v>
      </c>
    </row>
    <row r="34">
      <c r="A34" s="5" t="s">
        <v>1746</v>
      </c>
      <c r="B34" s="5" t="s">
        <v>252</v>
      </c>
      <c r="C34" s="5" t="s">
        <v>1747</v>
      </c>
      <c r="D34" s="5" t="s">
        <v>1748</v>
      </c>
      <c r="E34" s="5" t="s">
        <v>1749</v>
      </c>
      <c r="F34" s="5" t="s">
        <v>1750</v>
      </c>
      <c r="G34" s="7"/>
      <c r="H34" s="5" t="b">
        <v>1</v>
      </c>
    </row>
    <row r="35">
      <c r="A35" s="5" t="s">
        <v>1751</v>
      </c>
      <c r="B35" s="5" t="s">
        <v>252</v>
      </c>
      <c r="C35" s="5">
        <v>8.6</v>
      </c>
      <c r="D35" s="5" t="s">
        <v>1752</v>
      </c>
      <c r="E35" s="5" t="s">
        <v>1753</v>
      </c>
      <c r="F35" s="5" t="s">
        <v>1754</v>
      </c>
      <c r="G35" s="7"/>
      <c r="H35" s="5" t="b">
        <v>1</v>
      </c>
    </row>
    <row r="36">
      <c r="A36" s="5" t="s">
        <v>1755</v>
      </c>
      <c r="B36" s="5" t="s">
        <v>252</v>
      </c>
      <c r="C36" s="5">
        <v>8.7</v>
      </c>
      <c r="D36" s="5" t="s">
        <v>1756</v>
      </c>
      <c r="E36" s="5" t="s">
        <v>1757</v>
      </c>
      <c r="F36" s="5" t="s">
        <v>1758</v>
      </c>
      <c r="G36" s="7"/>
      <c r="H36" s="5" t="b">
        <v>1</v>
      </c>
    </row>
    <row r="37">
      <c r="A37" s="5" t="s">
        <v>1759</v>
      </c>
      <c r="B37" s="5" t="s">
        <v>252</v>
      </c>
      <c r="C37" s="5" t="s">
        <v>1760</v>
      </c>
      <c r="D37" s="5" t="s">
        <v>1761</v>
      </c>
      <c r="E37" s="5" t="s">
        <v>1762</v>
      </c>
      <c r="F37" s="5" t="s">
        <v>1763</v>
      </c>
      <c r="G37" s="7"/>
      <c r="H37" s="5" t="b">
        <v>1</v>
      </c>
    </row>
    <row r="38">
      <c r="A38" s="5" t="s">
        <v>1764</v>
      </c>
      <c r="B38" s="5" t="s">
        <v>252</v>
      </c>
      <c r="C38" s="5" t="s">
        <v>1765</v>
      </c>
      <c r="D38" s="5" t="s">
        <v>1766</v>
      </c>
      <c r="E38" s="5" t="s">
        <v>1767</v>
      </c>
      <c r="F38" s="5" t="s">
        <v>1768</v>
      </c>
      <c r="G38" s="7"/>
      <c r="H38" s="5" t="b">
        <v>1</v>
      </c>
    </row>
    <row r="39">
      <c r="A39" s="5" t="s">
        <v>1769</v>
      </c>
      <c r="B39" s="5" t="s">
        <v>252</v>
      </c>
      <c r="C39" s="5" t="s">
        <v>1770</v>
      </c>
      <c r="D39" s="5" t="s">
        <v>1771</v>
      </c>
      <c r="E39" s="5" t="s">
        <v>1772</v>
      </c>
      <c r="F39" s="5" t="s">
        <v>1773</v>
      </c>
      <c r="G39" s="7"/>
      <c r="H39" s="5" t="b">
        <v>1</v>
      </c>
    </row>
    <row r="40">
      <c r="A40" s="5" t="s">
        <v>1774</v>
      </c>
      <c r="B40" s="5" t="s">
        <v>252</v>
      </c>
      <c r="C40" s="5">
        <v>9.2</v>
      </c>
      <c r="D40" s="5" t="s">
        <v>1775</v>
      </c>
      <c r="E40" s="5" t="s">
        <v>1776</v>
      </c>
      <c r="F40" s="5" t="s">
        <v>1777</v>
      </c>
      <c r="G40" s="7"/>
      <c r="H40" s="5" t="b">
        <v>1</v>
      </c>
    </row>
    <row r="41">
      <c r="A41" s="5" t="s">
        <v>1778</v>
      </c>
      <c r="B41" s="5" t="s">
        <v>252</v>
      </c>
      <c r="C41" s="5">
        <v>9.3</v>
      </c>
      <c r="D41" s="5" t="s">
        <v>1779</v>
      </c>
      <c r="E41" s="5" t="s">
        <v>1780</v>
      </c>
      <c r="F41" s="5" t="s">
        <v>1781</v>
      </c>
      <c r="G41" s="7"/>
      <c r="H41" s="5" t="b">
        <v>1</v>
      </c>
    </row>
    <row r="42">
      <c r="A42" s="5" t="s">
        <v>1782</v>
      </c>
      <c r="B42" s="5" t="s">
        <v>252</v>
      </c>
      <c r="C42" s="5">
        <v>10.1</v>
      </c>
      <c r="D42" s="5" t="s">
        <v>1783</v>
      </c>
      <c r="E42" s="5" t="s">
        <v>1784</v>
      </c>
      <c r="F42" s="5" t="s">
        <v>1785</v>
      </c>
      <c r="G42" s="7"/>
      <c r="H42" s="5" t="b">
        <v>1</v>
      </c>
    </row>
    <row r="43">
      <c r="A43" s="5" t="s">
        <v>1786</v>
      </c>
      <c r="B43" s="5" t="s">
        <v>252</v>
      </c>
      <c r="C43" s="5">
        <v>10.2</v>
      </c>
      <c r="D43" s="5" t="s">
        <v>1787</v>
      </c>
      <c r="E43" s="5" t="s">
        <v>1788</v>
      </c>
      <c r="F43" s="5" t="s">
        <v>1789</v>
      </c>
      <c r="G43" s="7"/>
      <c r="H43" s="5" t="b">
        <v>1</v>
      </c>
    </row>
    <row r="44">
      <c r="A44" s="5" t="s">
        <v>1790</v>
      </c>
      <c r="B44" s="5" t="s">
        <v>252</v>
      </c>
      <c r="C44" s="5">
        <v>10.3</v>
      </c>
      <c r="D44" s="5" t="s">
        <v>1791</v>
      </c>
      <c r="E44" s="5" t="s">
        <v>1792</v>
      </c>
      <c r="F44" s="5" t="s">
        <v>1793</v>
      </c>
      <c r="G44" s="7"/>
      <c r="H44" s="5" t="b">
        <v>1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9.5"/>
  </cols>
  <sheetData>
    <row r="1">
      <c r="A1" s="20" t="s">
        <v>1794</v>
      </c>
      <c r="B1" s="20" t="s">
        <v>513</v>
      </c>
      <c r="C1" s="20" t="s">
        <v>1795</v>
      </c>
      <c r="D1" s="20" t="s">
        <v>1796</v>
      </c>
      <c r="E1" s="20" t="s">
        <v>1797</v>
      </c>
      <c r="F1" s="20" t="s">
        <v>1798</v>
      </c>
      <c r="G1" s="20" t="s">
        <v>1799</v>
      </c>
      <c r="H1" s="20" t="s">
        <v>550</v>
      </c>
      <c r="I1" s="20" t="s">
        <v>1800</v>
      </c>
      <c r="J1" s="20" t="s">
        <v>1801</v>
      </c>
      <c r="K1" s="20" t="s">
        <v>369</v>
      </c>
      <c r="L1" s="20" t="s">
        <v>349</v>
      </c>
    </row>
    <row r="2">
      <c r="A2" s="9" t="s">
        <v>1802</v>
      </c>
      <c r="B2" s="9" t="s">
        <v>1803</v>
      </c>
      <c r="C2" s="9" t="s">
        <v>1804</v>
      </c>
      <c r="D2" s="9" t="s">
        <v>1805</v>
      </c>
      <c r="E2" s="9" t="s">
        <v>1564</v>
      </c>
      <c r="F2" s="9" t="s">
        <v>1806</v>
      </c>
      <c r="G2" s="9" t="s">
        <v>1807</v>
      </c>
      <c r="H2" s="9" t="s">
        <v>1452</v>
      </c>
      <c r="I2" s="9" t="s">
        <v>253</v>
      </c>
      <c r="J2" s="9" t="s">
        <v>1808</v>
      </c>
      <c r="K2" s="9" t="b">
        <v>1</v>
      </c>
      <c r="L2" s="9" t="s">
        <v>1809</v>
      </c>
    </row>
    <row r="3">
      <c r="A3" s="9" t="s">
        <v>1810</v>
      </c>
      <c r="B3" s="9" t="s">
        <v>1811</v>
      </c>
      <c r="C3" s="9" t="s">
        <v>1804</v>
      </c>
      <c r="D3" s="9" t="s">
        <v>1812</v>
      </c>
      <c r="E3" s="9" t="s">
        <v>1564</v>
      </c>
      <c r="F3" s="9" t="s">
        <v>1813</v>
      </c>
      <c r="G3" s="9" t="s">
        <v>1807</v>
      </c>
      <c r="H3" s="9" t="s">
        <v>1452</v>
      </c>
      <c r="I3" s="9" t="s">
        <v>253</v>
      </c>
      <c r="J3" s="9" t="s">
        <v>1808</v>
      </c>
      <c r="K3" s="9" t="b">
        <v>1</v>
      </c>
      <c r="L3" s="9" t="s">
        <v>1814</v>
      </c>
    </row>
    <row r="4">
      <c r="A4" s="9" t="s">
        <v>1815</v>
      </c>
      <c r="B4" s="9" t="s">
        <v>1816</v>
      </c>
      <c r="C4" s="9" t="s">
        <v>1804</v>
      </c>
      <c r="D4" s="9" t="s">
        <v>1817</v>
      </c>
      <c r="E4" s="9" t="s">
        <v>1564</v>
      </c>
      <c r="F4" s="9" t="s">
        <v>1818</v>
      </c>
      <c r="G4" s="9" t="s">
        <v>1807</v>
      </c>
      <c r="H4" s="9" t="s">
        <v>1452</v>
      </c>
      <c r="I4" s="9" t="s">
        <v>1819</v>
      </c>
      <c r="J4" s="9" t="s">
        <v>1808</v>
      </c>
      <c r="K4" s="9" t="b">
        <v>1</v>
      </c>
      <c r="L4" s="9" t="s">
        <v>1820</v>
      </c>
    </row>
    <row r="5">
      <c r="A5" s="9" t="s">
        <v>1821</v>
      </c>
      <c r="B5" s="9" t="s">
        <v>1822</v>
      </c>
      <c r="C5" s="9" t="s">
        <v>1804</v>
      </c>
      <c r="D5" s="9" t="s">
        <v>1823</v>
      </c>
      <c r="E5" s="9" t="s">
        <v>1564</v>
      </c>
      <c r="F5" s="9" t="s">
        <v>1824</v>
      </c>
      <c r="G5" s="9" t="s">
        <v>1807</v>
      </c>
      <c r="H5" s="9" t="s">
        <v>1452</v>
      </c>
      <c r="I5" s="9" t="s">
        <v>1825</v>
      </c>
      <c r="J5" s="9" t="s">
        <v>1808</v>
      </c>
      <c r="K5" s="9" t="b">
        <v>1</v>
      </c>
      <c r="L5" s="9" t="s">
        <v>1826</v>
      </c>
    </row>
    <row r="6">
      <c r="A6" s="9" t="s">
        <v>1827</v>
      </c>
      <c r="B6" s="9" t="s">
        <v>1828</v>
      </c>
      <c r="C6" s="9" t="s">
        <v>1804</v>
      </c>
      <c r="D6" s="9" t="s">
        <v>1829</v>
      </c>
      <c r="E6" s="9" t="s">
        <v>1564</v>
      </c>
      <c r="F6" s="9" t="s">
        <v>1830</v>
      </c>
      <c r="G6" s="9" t="s">
        <v>1831</v>
      </c>
      <c r="H6" s="9" t="s">
        <v>1465</v>
      </c>
      <c r="I6" s="9" t="s">
        <v>1832</v>
      </c>
      <c r="J6" s="9" t="s">
        <v>1808</v>
      </c>
      <c r="K6" s="9" t="b">
        <v>1</v>
      </c>
      <c r="L6" s="9" t="s">
        <v>1833</v>
      </c>
    </row>
    <row r="7">
      <c r="A7" s="9" t="s">
        <v>1834</v>
      </c>
      <c r="B7" s="9" t="s">
        <v>1835</v>
      </c>
      <c r="C7" s="9" t="s">
        <v>1804</v>
      </c>
      <c r="D7" s="9" t="s">
        <v>1836</v>
      </c>
      <c r="E7" s="9" t="s">
        <v>1564</v>
      </c>
      <c r="F7" s="9" t="s">
        <v>1837</v>
      </c>
      <c r="G7" s="9" t="s">
        <v>1838</v>
      </c>
      <c r="H7" s="9" t="s">
        <v>1452</v>
      </c>
      <c r="I7" s="9" t="s">
        <v>1839</v>
      </c>
      <c r="J7" s="9" t="s">
        <v>1808</v>
      </c>
      <c r="K7" s="9" t="b">
        <v>1</v>
      </c>
      <c r="L7" s="9" t="s">
        <v>1840</v>
      </c>
    </row>
    <row r="8">
      <c r="A8" s="9" t="s">
        <v>1841</v>
      </c>
      <c r="B8" s="9" t="s">
        <v>1842</v>
      </c>
      <c r="C8" s="9" t="s">
        <v>1843</v>
      </c>
      <c r="D8" s="9" t="s">
        <v>1844</v>
      </c>
      <c r="E8" s="9" t="s">
        <v>1589</v>
      </c>
      <c r="F8" s="9" t="s">
        <v>1845</v>
      </c>
      <c r="G8" s="9" t="s">
        <v>1807</v>
      </c>
      <c r="H8" s="9" t="s">
        <v>1452</v>
      </c>
      <c r="I8" s="9" t="s">
        <v>253</v>
      </c>
      <c r="J8" s="9" t="s">
        <v>1846</v>
      </c>
      <c r="K8" s="9" t="b">
        <v>1</v>
      </c>
      <c r="L8" s="9" t="s">
        <v>1847</v>
      </c>
    </row>
    <row r="9">
      <c r="A9" s="9" t="s">
        <v>1848</v>
      </c>
      <c r="B9" s="9" t="s">
        <v>1849</v>
      </c>
      <c r="C9" s="9" t="s">
        <v>1850</v>
      </c>
      <c r="D9" s="9" t="s">
        <v>1851</v>
      </c>
      <c r="E9" s="9" t="s">
        <v>1571</v>
      </c>
      <c r="F9" s="19" t="s">
        <v>1852</v>
      </c>
      <c r="G9" s="9" t="s">
        <v>1807</v>
      </c>
      <c r="H9" s="9" t="s">
        <v>1452</v>
      </c>
      <c r="I9" s="9" t="s">
        <v>1853</v>
      </c>
      <c r="J9" s="9" t="s">
        <v>1854</v>
      </c>
      <c r="K9" s="9" t="b">
        <v>1</v>
      </c>
      <c r="L9" s="9" t="s">
        <v>471</v>
      </c>
    </row>
    <row r="10">
      <c r="A10" s="9" t="s">
        <v>1855</v>
      </c>
      <c r="B10" s="9" t="s">
        <v>1856</v>
      </c>
      <c r="C10" s="9" t="s">
        <v>1850</v>
      </c>
      <c r="D10" s="9" t="s">
        <v>1857</v>
      </c>
      <c r="E10" s="9" t="s">
        <v>1571</v>
      </c>
      <c r="F10" s="19" t="s">
        <v>1858</v>
      </c>
      <c r="G10" s="9" t="s">
        <v>1807</v>
      </c>
      <c r="H10" s="9" t="s">
        <v>1465</v>
      </c>
      <c r="I10" s="9" t="s">
        <v>1859</v>
      </c>
      <c r="J10" s="9" t="s">
        <v>1854</v>
      </c>
      <c r="K10" s="9" t="b">
        <v>1</v>
      </c>
      <c r="L10" s="9" t="s">
        <v>471</v>
      </c>
    </row>
    <row r="11">
      <c r="A11" s="9" t="s">
        <v>1860</v>
      </c>
      <c r="B11" s="9" t="s">
        <v>1861</v>
      </c>
      <c r="C11" s="9" t="s">
        <v>1850</v>
      </c>
      <c r="D11" s="9" t="s">
        <v>1862</v>
      </c>
      <c r="E11" s="9" t="s">
        <v>1571</v>
      </c>
      <c r="F11" s="19" t="s">
        <v>1863</v>
      </c>
      <c r="G11" s="9" t="s">
        <v>1807</v>
      </c>
      <c r="H11" s="9" t="s">
        <v>1452</v>
      </c>
      <c r="I11" s="9" t="s">
        <v>1864</v>
      </c>
      <c r="J11" s="9" t="s">
        <v>1854</v>
      </c>
      <c r="K11" s="9" t="b">
        <v>1</v>
      </c>
      <c r="L11" s="9" t="s">
        <v>471</v>
      </c>
    </row>
    <row r="12">
      <c r="A12" s="9" t="s">
        <v>1865</v>
      </c>
      <c r="B12" s="9" t="s">
        <v>1866</v>
      </c>
      <c r="C12" s="9" t="s">
        <v>1850</v>
      </c>
      <c r="D12" s="9" t="s">
        <v>1867</v>
      </c>
      <c r="E12" s="9" t="s">
        <v>1571</v>
      </c>
      <c r="F12" s="9" t="s">
        <v>1868</v>
      </c>
      <c r="G12" s="9" t="s">
        <v>1869</v>
      </c>
      <c r="H12" s="9" t="s">
        <v>1452</v>
      </c>
      <c r="I12" s="9" t="s">
        <v>1585</v>
      </c>
      <c r="J12" s="9" t="s">
        <v>1854</v>
      </c>
      <c r="K12" s="9" t="b">
        <v>1</v>
      </c>
      <c r="L12" s="9" t="s">
        <v>471</v>
      </c>
    </row>
    <row r="13">
      <c r="A13" s="9" t="s">
        <v>1870</v>
      </c>
      <c r="B13" s="9" t="s">
        <v>1871</v>
      </c>
      <c r="C13" s="9" t="s">
        <v>1850</v>
      </c>
      <c r="D13" s="9" t="s">
        <v>1872</v>
      </c>
      <c r="E13" s="9" t="s">
        <v>1571</v>
      </c>
      <c r="F13" s="19" t="s">
        <v>1873</v>
      </c>
      <c r="G13" s="9" t="s">
        <v>1807</v>
      </c>
      <c r="H13" s="9" t="s">
        <v>1452</v>
      </c>
      <c r="I13" s="9" t="s">
        <v>1874</v>
      </c>
      <c r="J13" s="9" t="s">
        <v>1854</v>
      </c>
      <c r="K13" s="9" t="b">
        <v>1</v>
      </c>
      <c r="L13" s="9" t="s">
        <v>471</v>
      </c>
    </row>
    <row r="14">
      <c r="A14" s="9" t="s">
        <v>1875</v>
      </c>
      <c r="B14" s="9" t="s">
        <v>1876</v>
      </c>
      <c r="C14" s="9" t="s">
        <v>1850</v>
      </c>
      <c r="D14" s="9" t="s">
        <v>1877</v>
      </c>
      <c r="E14" s="9" t="s">
        <v>1571</v>
      </c>
      <c r="F14" s="19" t="s">
        <v>1878</v>
      </c>
      <c r="G14" s="9" t="s">
        <v>1807</v>
      </c>
      <c r="H14" s="9" t="s">
        <v>1452</v>
      </c>
      <c r="I14" s="9" t="s">
        <v>1853</v>
      </c>
      <c r="J14" s="9" t="s">
        <v>1854</v>
      </c>
      <c r="K14" s="9" t="b">
        <v>1</v>
      </c>
      <c r="L14" s="9" t="s">
        <v>471</v>
      </c>
    </row>
    <row r="15">
      <c r="A15" s="9" t="s">
        <v>1879</v>
      </c>
      <c r="B15" s="9" t="s">
        <v>1880</v>
      </c>
      <c r="C15" s="9" t="s">
        <v>1850</v>
      </c>
      <c r="D15" s="9" t="s">
        <v>1881</v>
      </c>
      <c r="E15" s="9" t="s">
        <v>1571</v>
      </c>
      <c r="F15" s="9" t="s">
        <v>1882</v>
      </c>
      <c r="G15" s="9" t="s">
        <v>1807</v>
      </c>
      <c r="H15" s="9" t="s">
        <v>1452</v>
      </c>
      <c r="I15" s="9" t="s">
        <v>1883</v>
      </c>
      <c r="J15" s="9" t="s">
        <v>1854</v>
      </c>
      <c r="K15" s="9" t="b">
        <v>1</v>
      </c>
      <c r="L15" s="9" t="s">
        <v>471</v>
      </c>
    </row>
    <row r="16">
      <c r="A16" s="9" t="s">
        <v>1884</v>
      </c>
      <c r="B16" s="9" t="s">
        <v>1885</v>
      </c>
      <c r="C16" s="9" t="s">
        <v>1850</v>
      </c>
      <c r="D16" s="9" t="s">
        <v>1886</v>
      </c>
      <c r="E16" s="9" t="s">
        <v>1571</v>
      </c>
      <c r="F16" s="9" t="s">
        <v>1887</v>
      </c>
      <c r="G16" s="9" t="s">
        <v>1807</v>
      </c>
      <c r="H16" s="9" t="s">
        <v>1465</v>
      </c>
      <c r="I16" s="9" t="s">
        <v>1888</v>
      </c>
      <c r="J16" s="9" t="s">
        <v>1854</v>
      </c>
      <c r="K16" s="9" t="b">
        <v>1</v>
      </c>
      <c r="L16" s="9" t="s">
        <v>471</v>
      </c>
    </row>
    <row r="17">
      <c r="A17" s="9" t="s">
        <v>1889</v>
      </c>
      <c r="B17" s="9" t="s">
        <v>1890</v>
      </c>
      <c r="C17" s="9" t="s">
        <v>1850</v>
      </c>
      <c r="D17" s="9" t="s">
        <v>1891</v>
      </c>
      <c r="E17" s="9" t="s">
        <v>1571</v>
      </c>
      <c r="F17" s="19" t="s">
        <v>1892</v>
      </c>
      <c r="G17" s="9" t="s">
        <v>1807</v>
      </c>
      <c r="H17" s="9" t="s">
        <v>1452</v>
      </c>
      <c r="I17" s="9" t="s">
        <v>1893</v>
      </c>
      <c r="J17" s="9" t="s">
        <v>1854</v>
      </c>
      <c r="K17" s="9" t="b">
        <v>1</v>
      </c>
      <c r="L17" s="9" t="s">
        <v>471</v>
      </c>
    </row>
    <row r="18">
      <c r="A18" s="9" t="s">
        <v>1894</v>
      </c>
      <c r="B18" s="9" t="s">
        <v>1895</v>
      </c>
      <c r="C18" s="9" t="s">
        <v>1850</v>
      </c>
      <c r="D18" s="9" t="s">
        <v>1896</v>
      </c>
      <c r="E18" s="9" t="s">
        <v>1571</v>
      </c>
      <c r="F18" s="9" t="s">
        <v>1897</v>
      </c>
      <c r="G18" s="9" t="s">
        <v>1807</v>
      </c>
      <c r="H18" s="9" t="s">
        <v>1452</v>
      </c>
      <c r="I18" s="9" t="s">
        <v>1898</v>
      </c>
      <c r="J18" s="9" t="s">
        <v>1854</v>
      </c>
      <c r="K18" s="9" t="b">
        <v>1</v>
      </c>
      <c r="L18" s="9" t="s">
        <v>471</v>
      </c>
    </row>
    <row r="19">
      <c r="A19" s="9" t="s">
        <v>1899</v>
      </c>
      <c r="B19" s="9" t="s">
        <v>1900</v>
      </c>
      <c r="C19" s="9" t="s">
        <v>1850</v>
      </c>
      <c r="D19" s="9" t="s">
        <v>1901</v>
      </c>
      <c r="E19" s="9" t="s">
        <v>1571</v>
      </c>
      <c r="F19" s="19" t="s">
        <v>1902</v>
      </c>
      <c r="G19" s="9" t="s">
        <v>1903</v>
      </c>
      <c r="H19" s="9" t="s">
        <v>1452</v>
      </c>
      <c r="I19" s="9" t="s">
        <v>1904</v>
      </c>
      <c r="J19" s="9" t="s">
        <v>1854</v>
      </c>
      <c r="K19" s="9" t="b">
        <v>1</v>
      </c>
      <c r="L19" s="9" t="s">
        <v>471</v>
      </c>
    </row>
    <row r="20">
      <c r="A20" s="9" t="s">
        <v>1905</v>
      </c>
      <c r="B20" s="9" t="s">
        <v>1906</v>
      </c>
      <c r="C20" s="9" t="s">
        <v>1850</v>
      </c>
      <c r="D20" s="9" t="s">
        <v>1907</v>
      </c>
      <c r="E20" s="9" t="s">
        <v>1571</v>
      </c>
      <c r="F20" s="19" t="s">
        <v>1908</v>
      </c>
      <c r="G20" s="9" t="s">
        <v>1807</v>
      </c>
      <c r="H20" s="9" t="s">
        <v>1452</v>
      </c>
      <c r="I20" s="9" t="s">
        <v>1909</v>
      </c>
      <c r="J20" s="9" t="s">
        <v>1854</v>
      </c>
      <c r="K20" s="9" t="b">
        <v>1</v>
      </c>
      <c r="L20" s="9" t="s">
        <v>471</v>
      </c>
    </row>
    <row r="21">
      <c r="A21" s="9" t="s">
        <v>1910</v>
      </c>
      <c r="B21" s="9" t="s">
        <v>1911</v>
      </c>
      <c r="C21" s="9" t="s">
        <v>1850</v>
      </c>
      <c r="D21" s="9" t="s">
        <v>1912</v>
      </c>
      <c r="E21" s="9" t="s">
        <v>1571</v>
      </c>
      <c r="F21" s="19" t="s">
        <v>1913</v>
      </c>
      <c r="G21" s="9" t="s">
        <v>1807</v>
      </c>
      <c r="H21" s="9" t="s">
        <v>1452</v>
      </c>
      <c r="I21" s="9" t="s">
        <v>284</v>
      </c>
      <c r="J21" s="9" t="s">
        <v>1854</v>
      </c>
      <c r="K21" s="9" t="b">
        <v>1</v>
      </c>
      <c r="L21" s="9" t="s">
        <v>471</v>
      </c>
    </row>
    <row r="22">
      <c r="A22" s="9" t="s">
        <v>1914</v>
      </c>
      <c r="B22" s="9" t="s">
        <v>1915</v>
      </c>
      <c r="C22" s="9" t="s">
        <v>1850</v>
      </c>
      <c r="D22" s="9" t="s">
        <v>1916</v>
      </c>
      <c r="E22" s="9" t="s">
        <v>1571</v>
      </c>
      <c r="F22" s="19" t="s">
        <v>1917</v>
      </c>
      <c r="G22" s="9" t="s">
        <v>1918</v>
      </c>
      <c r="H22" s="9" t="s">
        <v>1452</v>
      </c>
      <c r="I22" s="9" t="s">
        <v>237</v>
      </c>
      <c r="J22" s="9" t="s">
        <v>1854</v>
      </c>
      <c r="K22" s="9" t="b">
        <v>1</v>
      </c>
      <c r="L22" s="9" t="s">
        <v>471</v>
      </c>
    </row>
    <row r="23">
      <c r="A23" s="9" t="s">
        <v>1919</v>
      </c>
      <c r="B23" s="9" t="s">
        <v>1920</v>
      </c>
      <c r="C23" s="9" t="s">
        <v>1850</v>
      </c>
      <c r="D23" s="9" t="s">
        <v>1921</v>
      </c>
      <c r="E23" s="9" t="s">
        <v>1571</v>
      </c>
      <c r="F23" s="19" t="s">
        <v>1922</v>
      </c>
      <c r="G23" s="9" t="s">
        <v>1360</v>
      </c>
      <c r="H23" s="9" t="s">
        <v>1452</v>
      </c>
      <c r="I23" s="9" t="s">
        <v>879</v>
      </c>
      <c r="J23" s="9" t="s">
        <v>1854</v>
      </c>
      <c r="K23" s="9" t="b">
        <v>1</v>
      </c>
      <c r="L23" s="9" t="s">
        <v>471</v>
      </c>
    </row>
    <row r="24">
      <c r="A24" s="9" t="s">
        <v>1923</v>
      </c>
      <c r="B24" s="9" t="s">
        <v>1924</v>
      </c>
      <c r="C24" s="9" t="s">
        <v>1850</v>
      </c>
      <c r="D24" s="9" t="s">
        <v>1925</v>
      </c>
      <c r="E24" s="9" t="s">
        <v>1571</v>
      </c>
      <c r="F24" s="19" t="s">
        <v>1926</v>
      </c>
      <c r="G24" s="9" t="s">
        <v>1807</v>
      </c>
      <c r="H24" s="9" t="s">
        <v>1452</v>
      </c>
      <c r="I24" s="9" t="s">
        <v>893</v>
      </c>
      <c r="J24" s="9" t="s">
        <v>1854</v>
      </c>
      <c r="K24" s="9" t="b">
        <v>1</v>
      </c>
      <c r="L24" s="9" t="s">
        <v>471</v>
      </c>
    </row>
    <row r="25">
      <c r="A25" s="9" t="s">
        <v>1927</v>
      </c>
      <c r="B25" s="9" t="s">
        <v>1928</v>
      </c>
      <c r="C25" s="9" t="s">
        <v>1850</v>
      </c>
      <c r="D25" s="9" t="s">
        <v>1929</v>
      </c>
      <c r="E25" s="9" t="s">
        <v>1571</v>
      </c>
      <c r="F25" s="19" t="s">
        <v>1930</v>
      </c>
      <c r="G25" s="9" t="s">
        <v>1807</v>
      </c>
      <c r="H25" s="9" t="s">
        <v>1465</v>
      </c>
      <c r="I25" s="9" t="s">
        <v>1931</v>
      </c>
      <c r="J25" s="9" t="s">
        <v>1854</v>
      </c>
      <c r="K25" s="9" t="b">
        <v>1</v>
      </c>
      <c r="L25" s="9" t="s">
        <v>471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7.63"/>
    <col customWidth="1" min="4" max="4" width="52.63"/>
    <col customWidth="1" min="5" max="5" width="35.13"/>
    <col customWidth="1" min="6" max="7" width="17.63"/>
    <col customWidth="1" min="8" max="9" width="32.63"/>
    <col customWidth="1" min="10" max="14" width="17.63"/>
  </cols>
  <sheetData>
    <row r="1">
      <c r="A1" s="24" t="s">
        <v>1932</v>
      </c>
      <c r="B1" s="24" t="s">
        <v>511</v>
      </c>
      <c r="C1" s="24" t="s">
        <v>818</v>
      </c>
      <c r="D1" s="24" t="s">
        <v>1933</v>
      </c>
      <c r="E1" s="24" t="s">
        <v>1934</v>
      </c>
      <c r="F1" s="24" t="s">
        <v>522</v>
      </c>
      <c r="G1" s="24" t="s">
        <v>1799</v>
      </c>
      <c r="H1" s="24" t="s">
        <v>548</v>
      </c>
      <c r="I1" s="24" t="s">
        <v>1935</v>
      </c>
      <c r="J1" s="24" t="s">
        <v>550</v>
      </c>
      <c r="K1" s="24" t="s">
        <v>553</v>
      </c>
      <c r="L1" s="24" t="s">
        <v>555</v>
      </c>
      <c r="M1" s="24" t="s">
        <v>1936</v>
      </c>
      <c r="N1" s="24" t="s">
        <v>369</v>
      </c>
    </row>
    <row r="2">
      <c r="A2" s="5" t="s">
        <v>1937</v>
      </c>
      <c r="B2" s="5" t="s">
        <v>1938</v>
      </c>
      <c r="C2" s="5" t="s">
        <v>1939</v>
      </c>
      <c r="D2" s="5" t="s">
        <v>1940</v>
      </c>
      <c r="E2" s="5" t="s">
        <v>1941</v>
      </c>
      <c r="F2" s="5">
        <v>5.3</v>
      </c>
      <c r="G2" s="5" t="s">
        <v>1807</v>
      </c>
      <c r="H2" s="5" t="s">
        <v>1942</v>
      </c>
      <c r="I2" s="5" t="s">
        <v>1943</v>
      </c>
      <c r="J2" s="5" t="s">
        <v>1452</v>
      </c>
      <c r="K2" s="5">
        <v>3.0</v>
      </c>
      <c r="L2" s="5" t="b">
        <v>1</v>
      </c>
      <c r="M2" s="5" t="s">
        <v>1944</v>
      </c>
      <c r="N2" s="5" t="b">
        <v>1</v>
      </c>
    </row>
    <row r="3">
      <c r="A3" s="5" t="s">
        <v>1945</v>
      </c>
      <c r="B3" s="5" t="s">
        <v>1946</v>
      </c>
      <c r="C3" s="5" t="s">
        <v>1939</v>
      </c>
      <c r="D3" s="5" t="s">
        <v>1947</v>
      </c>
      <c r="E3" s="5" t="s">
        <v>1948</v>
      </c>
      <c r="F3" s="5">
        <v>5.3</v>
      </c>
      <c r="G3" s="5" t="s">
        <v>1807</v>
      </c>
      <c r="H3" s="5" t="s">
        <v>1949</v>
      </c>
      <c r="I3" s="5" t="s">
        <v>1943</v>
      </c>
      <c r="J3" s="5" t="s">
        <v>1452</v>
      </c>
      <c r="K3" s="5">
        <v>3.0</v>
      </c>
      <c r="L3" s="5" t="b">
        <v>1</v>
      </c>
      <c r="M3" s="5" t="s">
        <v>1944</v>
      </c>
      <c r="N3" s="5" t="b">
        <v>1</v>
      </c>
    </row>
    <row r="4">
      <c r="A4" s="5" t="s">
        <v>1950</v>
      </c>
      <c r="B4" s="5" t="s">
        <v>1951</v>
      </c>
      <c r="C4" s="5" t="s">
        <v>1939</v>
      </c>
      <c r="D4" s="5" t="s">
        <v>1952</v>
      </c>
      <c r="E4" s="5" t="s">
        <v>1953</v>
      </c>
      <c r="F4" s="5">
        <v>4.4</v>
      </c>
      <c r="G4" s="5" t="s">
        <v>1807</v>
      </c>
      <c r="H4" s="5" t="s">
        <v>1954</v>
      </c>
      <c r="I4" s="5" t="s">
        <v>1955</v>
      </c>
      <c r="J4" s="5" t="s">
        <v>1452</v>
      </c>
      <c r="K4" s="5">
        <v>3.0</v>
      </c>
      <c r="L4" s="5" t="b">
        <v>1</v>
      </c>
      <c r="M4" s="5" t="s">
        <v>1944</v>
      </c>
      <c r="N4" s="5" t="b">
        <v>1</v>
      </c>
    </row>
    <row r="5">
      <c r="A5" s="5" t="s">
        <v>1956</v>
      </c>
      <c r="B5" s="5" t="s">
        <v>1957</v>
      </c>
      <c r="C5" s="5" t="s">
        <v>1939</v>
      </c>
      <c r="D5" s="5" t="s">
        <v>1958</v>
      </c>
      <c r="E5" s="5" t="s">
        <v>1959</v>
      </c>
      <c r="F5" s="5">
        <v>4.4</v>
      </c>
      <c r="G5" s="5" t="s">
        <v>1807</v>
      </c>
      <c r="H5" s="5" t="s">
        <v>1960</v>
      </c>
      <c r="I5" s="5" t="s">
        <v>1943</v>
      </c>
      <c r="J5" s="5" t="s">
        <v>1465</v>
      </c>
      <c r="K5" s="5">
        <v>2.0</v>
      </c>
      <c r="L5" s="5" t="b">
        <v>1</v>
      </c>
      <c r="M5" s="5" t="s">
        <v>1944</v>
      </c>
      <c r="N5" s="5" t="b">
        <v>1</v>
      </c>
    </row>
    <row r="6">
      <c r="A6" s="5" t="s">
        <v>1961</v>
      </c>
      <c r="B6" s="5" t="s">
        <v>1962</v>
      </c>
      <c r="C6" s="5" t="s">
        <v>1939</v>
      </c>
      <c r="D6" s="5" t="s">
        <v>1963</v>
      </c>
      <c r="E6" s="5" t="s">
        <v>1964</v>
      </c>
      <c r="F6" s="5">
        <v>6.2</v>
      </c>
      <c r="G6" s="5" t="s">
        <v>1807</v>
      </c>
      <c r="H6" s="5" t="s">
        <v>1965</v>
      </c>
      <c r="I6" s="5" t="s">
        <v>1966</v>
      </c>
      <c r="J6" s="5" t="s">
        <v>1452</v>
      </c>
      <c r="K6" s="5">
        <v>3.0</v>
      </c>
      <c r="L6" s="5" t="b">
        <v>1</v>
      </c>
      <c r="M6" s="5" t="s">
        <v>1944</v>
      </c>
      <c r="N6" s="5" t="b">
        <v>1</v>
      </c>
    </row>
    <row r="7">
      <c r="A7" s="5" t="s">
        <v>1967</v>
      </c>
      <c r="B7" s="5" t="s">
        <v>1968</v>
      </c>
      <c r="C7" s="5" t="s">
        <v>1939</v>
      </c>
      <c r="D7" s="5" t="s">
        <v>1969</v>
      </c>
      <c r="E7" s="5" t="s">
        <v>1970</v>
      </c>
      <c r="F7" s="5">
        <v>6.2</v>
      </c>
      <c r="G7" s="5" t="s">
        <v>1807</v>
      </c>
      <c r="H7" s="5" t="s">
        <v>1971</v>
      </c>
      <c r="I7" s="5" t="s">
        <v>1972</v>
      </c>
      <c r="J7" s="5" t="s">
        <v>1452</v>
      </c>
      <c r="K7" s="5">
        <v>3.0</v>
      </c>
      <c r="L7" s="5" t="b">
        <v>1</v>
      </c>
      <c r="M7" s="5" t="s">
        <v>1944</v>
      </c>
      <c r="N7" s="5" t="b">
        <v>1</v>
      </c>
    </row>
    <row r="8">
      <c r="A8" s="5" t="s">
        <v>1973</v>
      </c>
      <c r="B8" s="5" t="s">
        <v>1974</v>
      </c>
      <c r="C8" s="5" t="s">
        <v>1939</v>
      </c>
      <c r="D8" s="5" t="s">
        <v>1975</v>
      </c>
      <c r="E8" s="5" t="s">
        <v>1976</v>
      </c>
      <c r="F8" s="5" t="s">
        <v>1760</v>
      </c>
      <c r="G8" s="5" t="s">
        <v>1807</v>
      </c>
      <c r="H8" s="5" t="s">
        <v>1977</v>
      </c>
      <c r="I8" s="5" t="s">
        <v>1978</v>
      </c>
      <c r="J8" s="5" t="s">
        <v>1452</v>
      </c>
      <c r="K8" s="5">
        <v>3.0</v>
      </c>
      <c r="L8" s="5" t="b">
        <v>1</v>
      </c>
      <c r="M8" s="5" t="s">
        <v>1944</v>
      </c>
      <c r="N8" s="5" t="b">
        <v>1</v>
      </c>
    </row>
    <row r="9">
      <c r="A9" s="5" t="s">
        <v>1979</v>
      </c>
      <c r="B9" s="5" t="s">
        <v>1980</v>
      </c>
      <c r="C9" s="5" t="s">
        <v>1939</v>
      </c>
      <c r="D9" s="5" t="s">
        <v>1981</v>
      </c>
      <c r="E9" s="5" t="s">
        <v>1982</v>
      </c>
      <c r="F9" s="5" t="s">
        <v>1983</v>
      </c>
      <c r="G9" s="5" t="s">
        <v>1807</v>
      </c>
      <c r="H9" s="5" t="s">
        <v>1984</v>
      </c>
      <c r="I9" s="5" t="s">
        <v>1943</v>
      </c>
      <c r="J9" s="5" t="s">
        <v>1452</v>
      </c>
      <c r="K9" s="5">
        <v>3.0</v>
      </c>
      <c r="L9" s="5" t="b">
        <v>1</v>
      </c>
      <c r="M9" s="5" t="s">
        <v>1944</v>
      </c>
      <c r="N9" s="5" t="b">
        <v>1</v>
      </c>
    </row>
    <row r="10">
      <c r="A10" s="5" t="s">
        <v>1985</v>
      </c>
      <c r="B10" s="5" t="s">
        <v>1986</v>
      </c>
      <c r="C10" s="5" t="s">
        <v>1939</v>
      </c>
      <c r="D10" s="5" t="s">
        <v>1987</v>
      </c>
      <c r="E10" s="5" t="s">
        <v>1988</v>
      </c>
      <c r="F10" s="5">
        <v>6.1</v>
      </c>
      <c r="G10" s="5" t="s">
        <v>1807</v>
      </c>
      <c r="H10" s="5" t="s">
        <v>1989</v>
      </c>
      <c r="I10" s="5" t="s">
        <v>1972</v>
      </c>
      <c r="J10" s="5" t="s">
        <v>1452</v>
      </c>
      <c r="K10" s="5">
        <v>3.0</v>
      </c>
      <c r="L10" s="5" t="b">
        <v>1</v>
      </c>
      <c r="M10" s="5" t="s">
        <v>1944</v>
      </c>
      <c r="N10" s="5" t="b">
        <v>1</v>
      </c>
    </row>
    <row r="11">
      <c r="A11" s="5" t="s">
        <v>1990</v>
      </c>
      <c r="B11" s="5" t="s">
        <v>1991</v>
      </c>
      <c r="C11" s="5" t="s">
        <v>1939</v>
      </c>
      <c r="D11" s="5" t="s">
        <v>1992</v>
      </c>
      <c r="E11" s="5" t="s">
        <v>1993</v>
      </c>
      <c r="F11" s="5" t="s">
        <v>1994</v>
      </c>
      <c r="G11" s="5" t="s">
        <v>1807</v>
      </c>
      <c r="H11" s="5" t="s">
        <v>1995</v>
      </c>
      <c r="I11" s="5" t="s">
        <v>1943</v>
      </c>
      <c r="J11" s="5" t="s">
        <v>1465</v>
      </c>
      <c r="K11" s="5">
        <v>2.0</v>
      </c>
      <c r="L11" s="5" t="b">
        <v>1</v>
      </c>
      <c r="M11" s="5" t="s">
        <v>1944</v>
      </c>
      <c r="N11" s="5" t="b">
        <v>1</v>
      </c>
    </row>
    <row r="12">
      <c r="A12" s="5" t="s">
        <v>1996</v>
      </c>
      <c r="B12" s="5" t="s">
        <v>1997</v>
      </c>
      <c r="C12" s="5" t="s">
        <v>1998</v>
      </c>
      <c r="D12" s="5" t="s">
        <v>1999</v>
      </c>
      <c r="E12" s="5" t="s">
        <v>2000</v>
      </c>
      <c r="F12" s="5" t="s">
        <v>1691</v>
      </c>
      <c r="G12" s="5" t="s">
        <v>1807</v>
      </c>
      <c r="H12" s="5" t="s">
        <v>2001</v>
      </c>
      <c r="I12" s="5" t="s">
        <v>1966</v>
      </c>
      <c r="J12" s="5" t="s">
        <v>1452</v>
      </c>
      <c r="K12" s="5">
        <v>3.0</v>
      </c>
      <c r="L12" s="5" t="b">
        <v>1</v>
      </c>
      <c r="M12" s="5" t="s">
        <v>1944</v>
      </c>
      <c r="N12" s="5" t="b">
        <v>1</v>
      </c>
    </row>
    <row r="13">
      <c r="A13" s="5" t="s">
        <v>2002</v>
      </c>
      <c r="B13" s="5" t="s">
        <v>2003</v>
      </c>
      <c r="C13" s="5" t="s">
        <v>1998</v>
      </c>
      <c r="D13" s="5" t="s">
        <v>2004</v>
      </c>
      <c r="E13" s="5" t="s">
        <v>2005</v>
      </c>
      <c r="F13" s="5" t="s">
        <v>1696</v>
      </c>
      <c r="G13" s="5" t="s">
        <v>1807</v>
      </c>
      <c r="H13" s="5" t="s">
        <v>2006</v>
      </c>
      <c r="I13" s="5" t="s">
        <v>2007</v>
      </c>
      <c r="J13" s="5" t="s">
        <v>1452</v>
      </c>
      <c r="K13" s="5">
        <v>3.0</v>
      </c>
      <c r="L13" s="5" t="b">
        <v>1</v>
      </c>
      <c r="M13" s="5" t="s">
        <v>1944</v>
      </c>
      <c r="N13" s="5" t="b">
        <v>1</v>
      </c>
    </row>
    <row r="14">
      <c r="A14" s="5" t="s">
        <v>2008</v>
      </c>
      <c r="B14" s="5" t="s">
        <v>2009</v>
      </c>
      <c r="C14" s="5" t="s">
        <v>1998</v>
      </c>
      <c r="D14" s="5" t="s">
        <v>2010</v>
      </c>
      <c r="E14" s="5" t="s">
        <v>2011</v>
      </c>
      <c r="F14" s="5" t="s">
        <v>1701</v>
      </c>
      <c r="G14" s="5" t="s">
        <v>1807</v>
      </c>
      <c r="H14" s="5" t="s">
        <v>2012</v>
      </c>
      <c r="I14" s="5" t="s">
        <v>2013</v>
      </c>
      <c r="J14" s="5" t="s">
        <v>1452</v>
      </c>
      <c r="K14" s="5">
        <v>3.0</v>
      </c>
      <c r="L14" s="5" t="b">
        <v>1</v>
      </c>
      <c r="M14" s="5" t="s">
        <v>1944</v>
      </c>
      <c r="N14" s="5" t="b">
        <v>1</v>
      </c>
    </row>
    <row r="15">
      <c r="A15" s="5" t="s">
        <v>2014</v>
      </c>
      <c r="B15" s="5" t="s">
        <v>2015</v>
      </c>
      <c r="C15" s="5" t="s">
        <v>1998</v>
      </c>
      <c r="D15" s="5" t="s">
        <v>2016</v>
      </c>
      <c r="E15" s="5" t="s">
        <v>2017</v>
      </c>
      <c r="F15" s="5" t="s">
        <v>1701</v>
      </c>
      <c r="G15" s="5" t="s">
        <v>1807</v>
      </c>
      <c r="H15" s="5" t="s">
        <v>2018</v>
      </c>
      <c r="I15" s="5" t="s">
        <v>1966</v>
      </c>
      <c r="J15" s="5" t="s">
        <v>1465</v>
      </c>
      <c r="K15" s="5">
        <v>2.0</v>
      </c>
      <c r="L15" s="5" t="b">
        <v>1</v>
      </c>
      <c r="M15" s="5" t="s">
        <v>1944</v>
      </c>
      <c r="N15" s="5" t="b">
        <v>1</v>
      </c>
    </row>
    <row r="16">
      <c r="A16" s="5" t="s">
        <v>2019</v>
      </c>
      <c r="B16" s="5" t="s">
        <v>2020</v>
      </c>
      <c r="C16" s="5" t="s">
        <v>1998</v>
      </c>
      <c r="D16" s="5" t="s">
        <v>2021</v>
      </c>
      <c r="E16" s="5" t="s">
        <v>2022</v>
      </c>
      <c r="F16" s="5" t="s">
        <v>1701</v>
      </c>
      <c r="G16" s="5" t="s">
        <v>1807</v>
      </c>
      <c r="H16" s="5" t="s">
        <v>2023</v>
      </c>
      <c r="I16" s="5" t="s">
        <v>2013</v>
      </c>
      <c r="J16" s="5" t="s">
        <v>1452</v>
      </c>
      <c r="K16" s="5">
        <v>3.0</v>
      </c>
      <c r="L16" s="5" t="b">
        <v>1</v>
      </c>
      <c r="M16" s="5" t="s">
        <v>1944</v>
      </c>
      <c r="N16" s="5" t="b">
        <v>1</v>
      </c>
    </row>
    <row r="17">
      <c r="A17" s="5" t="s">
        <v>2024</v>
      </c>
      <c r="B17" s="5" t="s">
        <v>2025</v>
      </c>
      <c r="C17" s="5" t="s">
        <v>1998</v>
      </c>
      <c r="D17" s="5" t="s">
        <v>2026</v>
      </c>
      <c r="E17" s="5" t="s">
        <v>2027</v>
      </c>
      <c r="F17" s="5" t="s">
        <v>1701</v>
      </c>
      <c r="G17" s="5" t="s">
        <v>1807</v>
      </c>
      <c r="H17" s="5" t="s">
        <v>2028</v>
      </c>
      <c r="I17" s="5" t="s">
        <v>1966</v>
      </c>
      <c r="J17" s="5" t="s">
        <v>1452</v>
      </c>
      <c r="K17" s="5">
        <v>3.0</v>
      </c>
      <c r="L17" s="5" t="b">
        <v>1</v>
      </c>
      <c r="M17" s="5" t="s">
        <v>1944</v>
      </c>
      <c r="N17" s="5" t="b">
        <v>1</v>
      </c>
    </row>
    <row r="18">
      <c r="A18" s="5" t="s">
        <v>2029</v>
      </c>
      <c r="B18" s="5" t="s">
        <v>2030</v>
      </c>
      <c r="C18" s="5" t="s">
        <v>1998</v>
      </c>
      <c r="D18" s="5" t="s">
        <v>2031</v>
      </c>
      <c r="E18" s="5" t="s">
        <v>2032</v>
      </c>
      <c r="F18" s="5" t="s">
        <v>1701</v>
      </c>
      <c r="G18" s="5" t="s">
        <v>1807</v>
      </c>
      <c r="H18" s="5" t="s">
        <v>2033</v>
      </c>
      <c r="I18" s="5" t="s">
        <v>1966</v>
      </c>
      <c r="J18" s="5" t="s">
        <v>1465</v>
      </c>
      <c r="K18" s="5">
        <v>2.0</v>
      </c>
      <c r="L18" s="5" t="b">
        <v>1</v>
      </c>
      <c r="M18" s="5" t="s">
        <v>1944</v>
      </c>
      <c r="N18" s="5" t="b">
        <v>1</v>
      </c>
    </row>
    <row r="19">
      <c r="A19" s="5" t="s">
        <v>2034</v>
      </c>
      <c r="B19" s="5" t="s">
        <v>2035</v>
      </c>
      <c r="C19" s="5" t="s">
        <v>1998</v>
      </c>
      <c r="D19" s="5" t="s">
        <v>2036</v>
      </c>
      <c r="E19" s="5" t="s">
        <v>2037</v>
      </c>
      <c r="F19" s="5" t="s">
        <v>1701</v>
      </c>
      <c r="G19" s="5" t="s">
        <v>1807</v>
      </c>
      <c r="H19" s="5" t="s">
        <v>2038</v>
      </c>
      <c r="I19" s="5" t="s">
        <v>2039</v>
      </c>
      <c r="J19" s="5" t="s">
        <v>1452</v>
      </c>
      <c r="K19" s="5">
        <v>3.0</v>
      </c>
      <c r="L19" s="5" t="b">
        <v>1</v>
      </c>
      <c r="M19" s="5" t="s">
        <v>1944</v>
      </c>
      <c r="N19" s="5" t="b">
        <v>1</v>
      </c>
    </row>
    <row r="20">
      <c r="A20" s="5" t="s">
        <v>2040</v>
      </c>
      <c r="B20" s="5" t="s">
        <v>2041</v>
      </c>
      <c r="C20" s="5" t="s">
        <v>1998</v>
      </c>
      <c r="D20" s="5" t="s">
        <v>2042</v>
      </c>
      <c r="E20" s="5" t="s">
        <v>2043</v>
      </c>
      <c r="F20" s="5" t="s">
        <v>2044</v>
      </c>
      <c r="G20" s="5" t="s">
        <v>1807</v>
      </c>
      <c r="H20" s="5" t="s">
        <v>2045</v>
      </c>
      <c r="I20" s="5" t="s">
        <v>2046</v>
      </c>
      <c r="J20" s="5" t="s">
        <v>1452</v>
      </c>
      <c r="K20" s="5">
        <v>3.0</v>
      </c>
      <c r="L20" s="5" t="b">
        <v>1</v>
      </c>
      <c r="M20" s="5" t="s">
        <v>1944</v>
      </c>
      <c r="N20" s="5" t="b">
        <v>1</v>
      </c>
    </row>
    <row r="21">
      <c r="A21" s="5" t="s">
        <v>2047</v>
      </c>
      <c r="B21" s="5" t="s">
        <v>2048</v>
      </c>
      <c r="C21" s="5" t="s">
        <v>1998</v>
      </c>
      <c r="D21" s="5" t="s">
        <v>2049</v>
      </c>
      <c r="E21" s="5" t="s">
        <v>2050</v>
      </c>
      <c r="F21" s="5" t="s">
        <v>2051</v>
      </c>
      <c r="G21" s="5" t="s">
        <v>1807</v>
      </c>
      <c r="H21" s="5" t="s">
        <v>2052</v>
      </c>
      <c r="I21" s="5" t="s">
        <v>2053</v>
      </c>
      <c r="J21" s="5" t="s">
        <v>1452</v>
      </c>
      <c r="K21" s="5">
        <v>3.0</v>
      </c>
      <c r="L21" s="5" t="b">
        <v>1</v>
      </c>
      <c r="M21" s="5" t="s">
        <v>1944</v>
      </c>
      <c r="N21" s="5" t="b">
        <v>1</v>
      </c>
    </row>
    <row r="22">
      <c r="A22" s="5" t="s">
        <v>2054</v>
      </c>
      <c r="B22" s="5" t="s">
        <v>2055</v>
      </c>
      <c r="C22" s="5" t="s">
        <v>1483</v>
      </c>
      <c r="D22" s="5" t="s">
        <v>2056</v>
      </c>
      <c r="E22" s="5" t="s">
        <v>2057</v>
      </c>
      <c r="F22" s="5" t="s">
        <v>2058</v>
      </c>
      <c r="G22" s="5" t="s">
        <v>1807</v>
      </c>
      <c r="H22" s="5" t="s">
        <v>2059</v>
      </c>
      <c r="I22" s="5" t="s">
        <v>1966</v>
      </c>
      <c r="J22" s="5" t="s">
        <v>1452</v>
      </c>
      <c r="K22" s="5">
        <v>3.0</v>
      </c>
      <c r="L22" s="5" t="b">
        <v>1</v>
      </c>
      <c r="M22" s="5" t="s">
        <v>1944</v>
      </c>
      <c r="N22" s="5" t="b">
        <v>1</v>
      </c>
    </row>
    <row r="23">
      <c r="A23" s="5" t="s">
        <v>2060</v>
      </c>
      <c r="B23" s="5" t="s">
        <v>2061</v>
      </c>
      <c r="C23" s="5" t="s">
        <v>1483</v>
      </c>
      <c r="D23" s="5" t="s">
        <v>2062</v>
      </c>
      <c r="E23" s="5" t="s">
        <v>2063</v>
      </c>
      <c r="F23" s="5" t="s">
        <v>2064</v>
      </c>
      <c r="G23" s="5" t="s">
        <v>1807</v>
      </c>
      <c r="H23" s="5" t="s">
        <v>2065</v>
      </c>
      <c r="I23" s="5" t="s">
        <v>1966</v>
      </c>
      <c r="J23" s="5" t="s">
        <v>1452</v>
      </c>
      <c r="K23" s="5">
        <v>3.0</v>
      </c>
      <c r="L23" s="5" t="b">
        <v>1</v>
      </c>
      <c r="M23" s="5" t="s">
        <v>1944</v>
      </c>
      <c r="N23" s="5" t="b">
        <v>1</v>
      </c>
    </row>
    <row r="24">
      <c r="A24" s="5" t="s">
        <v>2066</v>
      </c>
      <c r="B24" s="5" t="s">
        <v>2067</v>
      </c>
      <c r="C24" s="5" t="s">
        <v>1483</v>
      </c>
      <c r="D24" s="5" t="s">
        <v>2068</v>
      </c>
      <c r="E24" s="5" t="s">
        <v>2069</v>
      </c>
      <c r="F24" s="5">
        <v>7.2</v>
      </c>
      <c r="G24" s="5" t="s">
        <v>1807</v>
      </c>
      <c r="H24" s="5" t="s">
        <v>2070</v>
      </c>
      <c r="I24" s="5" t="s">
        <v>2071</v>
      </c>
      <c r="J24" s="5" t="s">
        <v>1452</v>
      </c>
      <c r="K24" s="5">
        <v>3.0</v>
      </c>
      <c r="L24" s="5" t="b">
        <v>1</v>
      </c>
      <c r="M24" s="5" t="s">
        <v>1944</v>
      </c>
      <c r="N24" s="5" t="b">
        <v>1</v>
      </c>
    </row>
    <row r="25">
      <c r="A25" s="5" t="s">
        <v>2072</v>
      </c>
      <c r="B25" s="5" t="s">
        <v>2073</v>
      </c>
      <c r="C25" s="5" t="s">
        <v>1483</v>
      </c>
      <c r="D25" s="5" t="s">
        <v>2074</v>
      </c>
      <c r="E25" s="5" t="s">
        <v>2075</v>
      </c>
      <c r="F25" s="5">
        <v>7.2</v>
      </c>
      <c r="G25" s="5" t="s">
        <v>1807</v>
      </c>
      <c r="H25" s="5" t="s">
        <v>2076</v>
      </c>
      <c r="I25" s="5" t="s">
        <v>1966</v>
      </c>
      <c r="J25" s="5" t="s">
        <v>1465</v>
      </c>
      <c r="K25" s="5">
        <v>2.0</v>
      </c>
      <c r="L25" s="5" t="b">
        <v>1</v>
      </c>
      <c r="M25" s="5" t="s">
        <v>1944</v>
      </c>
      <c r="N25" s="5" t="b">
        <v>1</v>
      </c>
    </row>
    <row r="26">
      <c r="A26" s="5" t="s">
        <v>2077</v>
      </c>
      <c r="B26" s="5" t="s">
        <v>2078</v>
      </c>
      <c r="C26" s="5" t="s">
        <v>1483</v>
      </c>
      <c r="D26" s="5" t="s">
        <v>2079</v>
      </c>
      <c r="E26" s="5" t="s">
        <v>2080</v>
      </c>
      <c r="F26" s="5">
        <v>7.2</v>
      </c>
      <c r="G26" s="5" t="s">
        <v>1807</v>
      </c>
      <c r="H26" s="5" t="s">
        <v>2081</v>
      </c>
      <c r="I26" s="5" t="s">
        <v>1966</v>
      </c>
      <c r="J26" s="5" t="s">
        <v>1465</v>
      </c>
      <c r="K26" s="5">
        <v>2.0</v>
      </c>
      <c r="L26" s="5" t="b">
        <v>1</v>
      </c>
      <c r="M26" s="5" t="s">
        <v>1944</v>
      </c>
      <c r="N26" s="5" t="b">
        <v>1</v>
      </c>
    </row>
    <row r="27">
      <c r="A27" s="5" t="s">
        <v>2082</v>
      </c>
      <c r="B27" s="5" t="s">
        <v>2083</v>
      </c>
      <c r="C27" s="5" t="s">
        <v>1483</v>
      </c>
      <c r="D27" s="5" t="s">
        <v>2084</v>
      </c>
      <c r="E27" s="5" t="s">
        <v>2085</v>
      </c>
      <c r="F27" s="5">
        <v>7.2</v>
      </c>
      <c r="G27" s="5" t="s">
        <v>1807</v>
      </c>
      <c r="H27" s="5" t="s">
        <v>2086</v>
      </c>
      <c r="I27" s="5" t="s">
        <v>2087</v>
      </c>
      <c r="J27" s="5" t="s">
        <v>1465</v>
      </c>
      <c r="K27" s="5">
        <v>2.0</v>
      </c>
      <c r="L27" s="5" t="b">
        <v>1</v>
      </c>
      <c r="M27" s="5" t="s">
        <v>1944</v>
      </c>
      <c r="N27" s="5" t="b">
        <v>1</v>
      </c>
    </row>
    <row r="28">
      <c r="A28" s="5" t="s">
        <v>2088</v>
      </c>
      <c r="B28" s="5" t="s">
        <v>2089</v>
      </c>
      <c r="C28" s="5" t="s">
        <v>1483</v>
      </c>
      <c r="D28" s="5" t="s">
        <v>2090</v>
      </c>
      <c r="E28" s="5" t="s">
        <v>2091</v>
      </c>
      <c r="F28" s="5">
        <v>7.3</v>
      </c>
      <c r="G28" s="5" t="s">
        <v>1807</v>
      </c>
      <c r="H28" s="5" t="s">
        <v>2092</v>
      </c>
      <c r="I28" s="5" t="s">
        <v>2093</v>
      </c>
      <c r="J28" s="5" t="s">
        <v>1465</v>
      </c>
      <c r="K28" s="5">
        <v>2.0</v>
      </c>
      <c r="L28" s="5" t="b">
        <v>1</v>
      </c>
      <c r="M28" s="5" t="s">
        <v>1944</v>
      </c>
      <c r="N28" s="5" t="b">
        <v>1</v>
      </c>
    </row>
    <row r="29">
      <c r="A29" s="5" t="s">
        <v>2094</v>
      </c>
      <c r="B29" s="5" t="s">
        <v>2095</v>
      </c>
      <c r="C29" s="5" t="s">
        <v>1483</v>
      </c>
      <c r="D29" s="5" t="s">
        <v>2096</v>
      </c>
      <c r="E29" s="5" t="s">
        <v>2097</v>
      </c>
      <c r="F29" s="5" t="s">
        <v>2098</v>
      </c>
      <c r="G29" s="5" t="s">
        <v>1807</v>
      </c>
      <c r="H29" s="5" t="s">
        <v>2099</v>
      </c>
      <c r="I29" s="5" t="s">
        <v>1943</v>
      </c>
      <c r="J29" s="5" t="s">
        <v>1452</v>
      </c>
      <c r="K29" s="5">
        <v>3.0</v>
      </c>
      <c r="L29" s="5" t="b">
        <v>1</v>
      </c>
      <c r="M29" s="5" t="s">
        <v>1944</v>
      </c>
      <c r="N29" s="5" t="b">
        <v>1</v>
      </c>
    </row>
    <row r="30">
      <c r="A30" s="5" t="s">
        <v>2100</v>
      </c>
      <c r="B30" s="5" t="s">
        <v>2101</v>
      </c>
      <c r="C30" s="5" t="s">
        <v>1898</v>
      </c>
      <c r="D30" s="5" t="s">
        <v>2102</v>
      </c>
      <c r="E30" s="5" t="s">
        <v>2103</v>
      </c>
      <c r="F30" s="5" t="s">
        <v>2104</v>
      </c>
      <c r="G30" s="5" t="s">
        <v>1807</v>
      </c>
      <c r="H30" s="5" t="s">
        <v>2105</v>
      </c>
      <c r="I30" s="5" t="s">
        <v>1966</v>
      </c>
      <c r="J30" s="5" t="s">
        <v>1452</v>
      </c>
      <c r="K30" s="5">
        <v>3.0</v>
      </c>
      <c r="L30" s="5" t="b">
        <v>1</v>
      </c>
      <c r="M30" s="5" t="s">
        <v>1944</v>
      </c>
      <c r="N30" s="5" t="b">
        <v>1</v>
      </c>
    </row>
    <row r="31">
      <c r="A31" s="5" t="s">
        <v>2106</v>
      </c>
      <c r="B31" s="5" t="s">
        <v>2107</v>
      </c>
      <c r="C31" s="5" t="s">
        <v>1898</v>
      </c>
      <c r="D31" s="5" t="s">
        <v>2108</v>
      </c>
      <c r="E31" s="5" t="s">
        <v>2109</v>
      </c>
      <c r="F31" s="5">
        <v>8.2</v>
      </c>
      <c r="G31" s="5" t="s">
        <v>1807</v>
      </c>
      <c r="H31" s="5" t="s">
        <v>2110</v>
      </c>
      <c r="I31" s="5" t="s">
        <v>2111</v>
      </c>
      <c r="J31" s="5" t="s">
        <v>1452</v>
      </c>
      <c r="K31" s="5">
        <v>3.0</v>
      </c>
      <c r="L31" s="5" t="b">
        <v>1</v>
      </c>
      <c r="M31" s="5" t="s">
        <v>1944</v>
      </c>
      <c r="N31" s="5" t="b">
        <v>1</v>
      </c>
    </row>
    <row r="32">
      <c r="A32" s="5" t="s">
        <v>2112</v>
      </c>
      <c r="B32" s="5" t="s">
        <v>2113</v>
      </c>
      <c r="C32" s="5" t="s">
        <v>1898</v>
      </c>
      <c r="D32" s="5" t="s">
        <v>2114</v>
      </c>
      <c r="E32" s="5" t="s">
        <v>2115</v>
      </c>
      <c r="F32" s="5" t="s">
        <v>2116</v>
      </c>
      <c r="G32" s="5" t="s">
        <v>1807</v>
      </c>
      <c r="H32" s="5" t="s">
        <v>2117</v>
      </c>
      <c r="I32" s="5" t="s">
        <v>1966</v>
      </c>
      <c r="J32" s="5" t="s">
        <v>1452</v>
      </c>
      <c r="K32" s="5">
        <v>3.0</v>
      </c>
      <c r="L32" s="5" t="b">
        <v>1</v>
      </c>
      <c r="M32" s="5" t="s">
        <v>1944</v>
      </c>
      <c r="N32" s="5" t="b">
        <v>1</v>
      </c>
    </row>
    <row r="33">
      <c r="A33" s="5" t="s">
        <v>2118</v>
      </c>
      <c r="B33" s="5" t="s">
        <v>2119</v>
      </c>
      <c r="C33" s="5" t="s">
        <v>1898</v>
      </c>
      <c r="D33" s="5" t="s">
        <v>2120</v>
      </c>
      <c r="E33" s="5" t="s">
        <v>2121</v>
      </c>
      <c r="F33" s="5">
        <v>8.2</v>
      </c>
      <c r="G33" s="5" t="s">
        <v>1807</v>
      </c>
      <c r="H33" s="5" t="s">
        <v>2122</v>
      </c>
      <c r="I33" s="5" t="s">
        <v>2123</v>
      </c>
      <c r="J33" s="5" t="s">
        <v>1465</v>
      </c>
      <c r="K33" s="5">
        <v>2.0</v>
      </c>
      <c r="L33" s="5" t="b">
        <v>1</v>
      </c>
      <c r="M33" s="5" t="s">
        <v>1944</v>
      </c>
      <c r="N33" s="5" t="b">
        <v>1</v>
      </c>
    </row>
    <row r="34">
      <c r="A34" s="5" t="s">
        <v>2124</v>
      </c>
      <c r="B34" s="5" t="s">
        <v>2125</v>
      </c>
      <c r="C34" s="5" t="s">
        <v>1898</v>
      </c>
      <c r="D34" s="5" t="s">
        <v>2126</v>
      </c>
      <c r="E34" s="5" t="s">
        <v>2127</v>
      </c>
      <c r="F34" s="5" t="s">
        <v>2128</v>
      </c>
      <c r="G34" s="5" t="s">
        <v>1807</v>
      </c>
      <c r="H34" s="5" t="s">
        <v>2129</v>
      </c>
      <c r="I34" s="5" t="s">
        <v>1966</v>
      </c>
      <c r="J34" s="5" t="s">
        <v>1465</v>
      </c>
      <c r="K34" s="5">
        <v>2.0</v>
      </c>
      <c r="L34" s="5" t="b">
        <v>1</v>
      </c>
      <c r="M34" s="5" t="s">
        <v>1944</v>
      </c>
      <c r="N34" s="5" t="b">
        <v>1</v>
      </c>
    </row>
    <row r="35">
      <c r="A35" s="5" t="s">
        <v>2130</v>
      </c>
      <c r="B35" s="5" t="s">
        <v>2131</v>
      </c>
      <c r="C35" s="5" t="s">
        <v>1898</v>
      </c>
      <c r="D35" s="5" t="s">
        <v>2132</v>
      </c>
      <c r="E35" s="5" t="s">
        <v>2133</v>
      </c>
      <c r="F35" s="5" t="s">
        <v>1727</v>
      </c>
      <c r="G35" s="5" t="s">
        <v>1807</v>
      </c>
      <c r="H35" s="5" t="s">
        <v>2134</v>
      </c>
      <c r="I35" s="5" t="s">
        <v>2039</v>
      </c>
      <c r="J35" s="5" t="s">
        <v>1452</v>
      </c>
      <c r="K35" s="5">
        <v>3.0</v>
      </c>
      <c r="L35" s="5" t="b">
        <v>1</v>
      </c>
      <c r="M35" s="5" t="s">
        <v>1944</v>
      </c>
      <c r="N35" s="5" t="b">
        <v>1</v>
      </c>
    </row>
    <row r="36">
      <c r="A36" s="5" t="s">
        <v>2135</v>
      </c>
      <c r="B36" s="5" t="s">
        <v>2136</v>
      </c>
      <c r="C36" s="5" t="s">
        <v>1898</v>
      </c>
      <c r="D36" s="5" t="s">
        <v>2137</v>
      </c>
      <c r="E36" s="5" t="s">
        <v>2138</v>
      </c>
      <c r="F36" s="5">
        <v>8.6</v>
      </c>
      <c r="G36" s="5" t="s">
        <v>1807</v>
      </c>
      <c r="H36" s="5" t="s">
        <v>2139</v>
      </c>
      <c r="I36" s="5" t="s">
        <v>2140</v>
      </c>
      <c r="J36" s="5" t="s">
        <v>1452</v>
      </c>
      <c r="K36" s="5">
        <v>3.0</v>
      </c>
      <c r="L36" s="5" t="b">
        <v>1</v>
      </c>
      <c r="M36" s="5" t="s">
        <v>1944</v>
      </c>
      <c r="N36" s="5" t="b">
        <v>1</v>
      </c>
    </row>
    <row r="37">
      <c r="A37" s="5" t="s">
        <v>2141</v>
      </c>
      <c r="B37" s="5" t="s">
        <v>2142</v>
      </c>
      <c r="C37" s="5" t="s">
        <v>1898</v>
      </c>
      <c r="D37" s="5" t="s">
        <v>2143</v>
      </c>
      <c r="E37" s="5" t="s">
        <v>2144</v>
      </c>
      <c r="F37" s="5" t="s">
        <v>2145</v>
      </c>
      <c r="G37" s="5" t="s">
        <v>1807</v>
      </c>
      <c r="H37" s="5" t="s">
        <v>2146</v>
      </c>
      <c r="I37" s="5" t="s">
        <v>2147</v>
      </c>
      <c r="J37" s="5" t="s">
        <v>1452</v>
      </c>
      <c r="K37" s="5">
        <v>3.0</v>
      </c>
      <c r="L37" s="5" t="b">
        <v>1</v>
      </c>
      <c r="M37" s="5" t="s">
        <v>1944</v>
      </c>
      <c r="N37" s="5" t="b">
        <v>1</v>
      </c>
    </row>
    <row r="38">
      <c r="A38" s="5" t="s">
        <v>2148</v>
      </c>
      <c r="B38" s="5" t="s">
        <v>2149</v>
      </c>
      <c r="C38" s="5" t="s">
        <v>1898</v>
      </c>
      <c r="D38" s="5" t="s">
        <v>2150</v>
      </c>
      <c r="E38" s="5" t="s">
        <v>2151</v>
      </c>
      <c r="F38" s="5" t="s">
        <v>1765</v>
      </c>
      <c r="G38" s="5" t="s">
        <v>1807</v>
      </c>
      <c r="H38" s="5" t="s">
        <v>2152</v>
      </c>
      <c r="I38" s="5" t="s">
        <v>2153</v>
      </c>
      <c r="J38" s="5" t="s">
        <v>1465</v>
      </c>
      <c r="K38" s="5">
        <v>2.0</v>
      </c>
      <c r="L38" s="5" t="b">
        <v>1</v>
      </c>
      <c r="M38" s="5" t="s">
        <v>1944</v>
      </c>
      <c r="N38" s="5" t="b">
        <v>1</v>
      </c>
    </row>
    <row r="39">
      <c r="A39" s="5" t="s">
        <v>2154</v>
      </c>
      <c r="B39" s="5" t="s">
        <v>2155</v>
      </c>
      <c r="C39" s="5" t="s">
        <v>1898</v>
      </c>
      <c r="D39" s="5" t="s">
        <v>2156</v>
      </c>
      <c r="E39" s="5" t="s">
        <v>2157</v>
      </c>
      <c r="F39" s="5" t="s">
        <v>2158</v>
      </c>
      <c r="G39" s="5" t="s">
        <v>1807</v>
      </c>
      <c r="H39" s="5" t="s">
        <v>2159</v>
      </c>
      <c r="I39" s="5" t="s">
        <v>1966</v>
      </c>
      <c r="J39" s="5" t="s">
        <v>1452</v>
      </c>
      <c r="K39" s="5">
        <v>3.0</v>
      </c>
      <c r="L39" s="5" t="b">
        <v>1</v>
      </c>
      <c r="M39" s="5" t="s">
        <v>1944</v>
      </c>
      <c r="N39" s="5" t="b">
        <v>1</v>
      </c>
    </row>
    <row r="40">
      <c r="A40" s="5" t="s">
        <v>2160</v>
      </c>
      <c r="B40" s="5" t="s">
        <v>2161</v>
      </c>
      <c r="C40" s="5" t="s">
        <v>1883</v>
      </c>
      <c r="D40" s="5" t="s">
        <v>2162</v>
      </c>
      <c r="E40" s="5" t="s">
        <v>2163</v>
      </c>
      <c r="F40" s="5" t="s">
        <v>1659</v>
      </c>
      <c r="G40" s="5" t="s">
        <v>1807</v>
      </c>
      <c r="H40" s="5" t="s">
        <v>2164</v>
      </c>
      <c r="I40" s="5" t="s">
        <v>1966</v>
      </c>
      <c r="J40" s="5" t="s">
        <v>1452</v>
      </c>
      <c r="K40" s="5">
        <v>3.0</v>
      </c>
      <c r="L40" s="5" t="b">
        <v>1</v>
      </c>
      <c r="M40" s="5" t="s">
        <v>1944</v>
      </c>
      <c r="N40" s="5" t="b">
        <v>1</v>
      </c>
    </row>
    <row r="41">
      <c r="A41" s="5" t="s">
        <v>2165</v>
      </c>
      <c r="B41" s="5" t="s">
        <v>2166</v>
      </c>
      <c r="C41" s="5" t="s">
        <v>1883</v>
      </c>
      <c r="D41" s="5" t="s">
        <v>2167</v>
      </c>
      <c r="E41" s="5" t="s">
        <v>2168</v>
      </c>
      <c r="F41" s="5" t="s">
        <v>1659</v>
      </c>
      <c r="G41" s="5" t="s">
        <v>1807</v>
      </c>
      <c r="H41" s="5" t="s">
        <v>2169</v>
      </c>
      <c r="I41" s="5" t="s">
        <v>2013</v>
      </c>
      <c r="J41" s="5" t="s">
        <v>1452</v>
      </c>
      <c r="K41" s="5">
        <v>3.0</v>
      </c>
      <c r="L41" s="5" t="b">
        <v>1</v>
      </c>
      <c r="M41" s="5" t="s">
        <v>1944</v>
      </c>
      <c r="N41" s="5" t="b">
        <v>1</v>
      </c>
    </row>
    <row r="42">
      <c r="A42" s="5" t="s">
        <v>2170</v>
      </c>
      <c r="B42" s="5" t="s">
        <v>2171</v>
      </c>
      <c r="C42" s="5" t="s">
        <v>1883</v>
      </c>
      <c r="D42" s="5" t="s">
        <v>2172</v>
      </c>
      <c r="E42" s="5" t="s">
        <v>2173</v>
      </c>
      <c r="F42" s="5" t="s">
        <v>2174</v>
      </c>
      <c r="G42" s="5" t="s">
        <v>1807</v>
      </c>
      <c r="H42" s="5" t="s">
        <v>2175</v>
      </c>
      <c r="I42" s="5" t="s">
        <v>2176</v>
      </c>
      <c r="J42" s="5" t="s">
        <v>1452</v>
      </c>
      <c r="K42" s="5">
        <v>3.0</v>
      </c>
      <c r="L42" s="5" t="b">
        <v>1</v>
      </c>
      <c r="M42" s="5" t="s">
        <v>1944</v>
      </c>
      <c r="N42" s="5" t="b">
        <v>1</v>
      </c>
    </row>
    <row r="43">
      <c r="A43" s="5" t="s">
        <v>2177</v>
      </c>
      <c r="B43" s="5" t="s">
        <v>2178</v>
      </c>
      <c r="C43" s="5" t="s">
        <v>1883</v>
      </c>
      <c r="D43" s="5" t="s">
        <v>2179</v>
      </c>
      <c r="E43" s="5" t="s">
        <v>2180</v>
      </c>
      <c r="F43" s="5" t="s">
        <v>1659</v>
      </c>
      <c r="G43" s="5" t="s">
        <v>1807</v>
      </c>
      <c r="H43" s="5" t="s">
        <v>2181</v>
      </c>
      <c r="I43" s="5" t="s">
        <v>2182</v>
      </c>
      <c r="J43" s="5" t="s">
        <v>1452</v>
      </c>
      <c r="K43" s="5">
        <v>3.0</v>
      </c>
      <c r="L43" s="5" t="b">
        <v>1</v>
      </c>
      <c r="M43" s="5" t="s">
        <v>1944</v>
      </c>
      <c r="N43" s="5" t="b">
        <v>1</v>
      </c>
    </row>
    <row r="44">
      <c r="A44" s="5" t="s">
        <v>2183</v>
      </c>
      <c r="B44" s="5" t="s">
        <v>2184</v>
      </c>
      <c r="C44" s="5" t="s">
        <v>1883</v>
      </c>
      <c r="D44" s="5" t="s">
        <v>2185</v>
      </c>
      <c r="E44" s="5" t="s">
        <v>2186</v>
      </c>
      <c r="F44" s="5" t="s">
        <v>2187</v>
      </c>
      <c r="G44" s="5" t="s">
        <v>1807</v>
      </c>
      <c r="H44" s="5" t="s">
        <v>2188</v>
      </c>
      <c r="I44" s="5" t="s">
        <v>2189</v>
      </c>
      <c r="J44" s="5" t="s">
        <v>1465</v>
      </c>
      <c r="K44" s="5">
        <v>2.0</v>
      </c>
      <c r="L44" s="5" t="b">
        <v>1</v>
      </c>
      <c r="M44" s="5" t="s">
        <v>1944</v>
      </c>
      <c r="N44" s="5" t="b">
        <v>1</v>
      </c>
    </row>
    <row r="45">
      <c r="A45" s="5" t="s">
        <v>2190</v>
      </c>
      <c r="B45" s="5" t="s">
        <v>2191</v>
      </c>
      <c r="C45" s="5" t="s">
        <v>1883</v>
      </c>
      <c r="D45" s="5" t="s">
        <v>2192</v>
      </c>
      <c r="E45" s="5" t="s">
        <v>2193</v>
      </c>
      <c r="F45" s="5" t="s">
        <v>1669</v>
      </c>
      <c r="G45" s="5" t="s">
        <v>1807</v>
      </c>
      <c r="H45" s="5" t="s">
        <v>2194</v>
      </c>
      <c r="I45" s="5" t="s">
        <v>2140</v>
      </c>
      <c r="J45" s="5" t="s">
        <v>1452</v>
      </c>
      <c r="K45" s="5">
        <v>3.0</v>
      </c>
      <c r="L45" s="5" t="b">
        <v>1</v>
      </c>
      <c r="M45" s="5" t="s">
        <v>1944</v>
      </c>
      <c r="N45" s="5" t="b">
        <v>1</v>
      </c>
    </row>
    <row r="46">
      <c r="A46" s="5" t="s">
        <v>2195</v>
      </c>
      <c r="B46" s="5" t="s">
        <v>2196</v>
      </c>
      <c r="C46" s="5" t="s">
        <v>1883</v>
      </c>
      <c r="D46" s="5" t="s">
        <v>2197</v>
      </c>
      <c r="E46" s="5" t="s">
        <v>2198</v>
      </c>
      <c r="F46" s="5" t="s">
        <v>1664</v>
      </c>
      <c r="G46" s="5" t="s">
        <v>1807</v>
      </c>
      <c r="H46" s="5" t="s">
        <v>2199</v>
      </c>
      <c r="I46" s="5" t="s">
        <v>2200</v>
      </c>
      <c r="J46" s="5" t="s">
        <v>1452</v>
      </c>
      <c r="K46" s="5">
        <v>3.0</v>
      </c>
      <c r="L46" s="5" t="b">
        <v>1</v>
      </c>
      <c r="M46" s="5" t="s">
        <v>1944</v>
      </c>
      <c r="N46" s="5" t="b">
        <v>1</v>
      </c>
    </row>
    <row r="47">
      <c r="A47" s="5" t="s">
        <v>2201</v>
      </c>
      <c r="B47" s="5" t="s">
        <v>2202</v>
      </c>
      <c r="C47" s="5" t="s">
        <v>1883</v>
      </c>
      <c r="D47" s="5" t="s">
        <v>2203</v>
      </c>
      <c r="E47" s="5" t="s">
        <v>2204</v>
      </c>
      <c r="F47" s="5" t="s">
        <v>2205</v>
      </c>
      <c r="G47" s="5" t="s">
        <v>1807</v>
      </c>
      <c r="H47" s="5" t="s">
        <v>2206</v>
      </c>
      <c r="I47" s="5" t="s">
        <v>2111</v>
      </c>
      <c r="J47" s="5" t="s">
        <v>1452</v>
      </c>
      <c r="K47" s="5">
        <v>3.0</v>
      </c>
      <c r="L47" s="5" t="b">
        <v>1</v>
      </c>
      <c r="M47" s="5" t="s">
        <v>1944</v>
      </c>
      <c r="N47" s="5" t="b">
        <v>1</v>
      </c>
    </row>
    <row r="48">
      <c r="A48" s="5" t="s">
        <v>2207</v>
      </c>
      <c r="B48" s="5" t="s">
        <v>2208</v>
      </c>
      <c r="C48" s="5" t="s">
        <v>2209</v>
      </c>
      <c r="D48" s="5" t="s">
        <v>2210</v>
      </c>
      <c r="E48" s="5" t="s">
        <v>2211</v>
      </c>
      <c r="F48" s="5" t="s">
        <v>2212</v>
      </c>
      <c r="G48" s="5" t="s">
        <v>2209</v>
      </c>
      <c r="H48" s="5" t="s">
        <v>2213</v>
      </c>
      <c r="I48" s="5" t="s">
        <v>1966</v>
      </c>
      <c r="J48" s="5" t="s">
        <v>1452</v>
      </c>
      <c r="K48" s="5">
        <v>3.0</v>
      </c>
      <c r="L48" s="5" t="b">
        <v>1</v>
      </c>
      <c r="M48" s="5" t="s">
        <v>1944</v>
      </c>
      <c r="N48" s="5" t="b">
        <v>1</v>
      </c>
    </row>
    <row r="49">
      <c r="A49" s="5" t="s">
        <v>2214</v>
      </c>
      <c r="B49" s="5" t="s">
        <v>2215</v>
      </c>
      <c r="C49" s="5" t="s">
        <v>2209</v>
      </c>
      <c r="D49" s="5" t="s">
        <v>2216</v>
      </c>
      <c r="E49" s="5" t="s">
        <v>2217</v>
      </c>
      <c r="F49" s="5">
        <v>8.4</v>
      </c>
      <c r="G49" s="5" t="s">
        <v>2209</v>
      </c>
      <c r="H49" s="5" t="s">
        <v>2218</v>
      </c>
      <c r="I49" s="5" t="s">
        <v>2219</v>
      </c>
      <c r="J49" s="5" t="s">
        <v>1452</v>
      </c>
      <c r="K49" s="5">
        <v>3.0</v>
      </c>
      <c r="L49" s="5" t="b">
        <v>1</v>
      </c>
      <c r="M49" s="5" t="s">
        <v>1944</v>
      </c>
      <c r="N49" s="5" t="b">
        <v>1</v>
      </c>
    </row>
    <row r="50">
      <c r="A50" s="5" t="s">
        <v>2220</v>
      </c>
      <c r="B50" s="5" t="s">
        <v>2221</v>
      </c>
      <c r="C50" s="5" t="s">
        <v>2209</v>
      </c>
      <c r="D50" s="5" t="s">
        <v>2222</v>
      </c>
      <c r="E50" s="5" t="s">
        <v>2223</v>
      </c>
      <c r="F50" s="5">
        <v>8.4</v>
      </c>
      <c r="G50" s="5" t="s">
        <v>2209</v>
      </c>
      <c r="H50" s="5" t="s">
        <v>2224</v>
      </c>
      <c r="I50" s="5" t="s">
        <v>2140</v>
      </c>
      <c r="J50" s="5" t="s">
        <v>1452</v>
      </c>
      <c r="K50" s="5">
        <v>3.0</v>
      </c>
      <c r="L50" s="5" t="b">
        <v>1</v>
      </c>
      <c r="M50" s="5" t="s">
        <v>1944</v>
      </c>
      <c r="N50" s="5" t="b">
        <v>1</v>
      </c>
    </row>
    <row r="51">
      <c r="A51" s="5" t="s">
        <v>2225</v>
      </c>
      <c r="B51" s="5" t="s">
        <v>2226</v>
      </c>
      <c r="C51" s="5" t="s">
        <v>2209</v>
      </c>
      <c r="D51" s="5" t="s">
        <v>2227</v>
      </c>
      <c r="E51" s="5" t="s">
        <v>2228</v>
      </c>
      <c r="F51" s="5" t="s">
        <v>2229</v>
      </c>
      <c r="G51" s="5" t="s">
        <v>2209</v>
      </c>
      <c r="H51" s="5" t="s">
        <v>2230</v>
      </c>
      <c r="I51" s="5" t="s">
        <v>2140</v>
      </c>
      <c r="J51" s="5" t="s">
        <v>1452</v>
      </c>
      <c r="K51" s="5">
        <v>3.0</v>
      </c>
      <c r="L51" s="5" t="b">
        <v>1</v>
      </c>
      <c r="M51" s="5" t="s">
        <v>1944</v>
      </c>
      <c r="N51" s="5" t="b">
        <v>1</v>
      </c>
    </row>
    <row r="52">
      <c r="A52" s="5" t="s">
        <v>2231</v>
      </c>
      <c r="B52" s="5" t="s">
        <v>2232</v>
      </c>
      <c r="C52" s="5" t="s">
        <v>2209</v>
      </c>
      <c r="D52" s="5" t="s">
        <v>2233</v>
      </c>
      <c r="E52" s="5" t="s">
        <v>2234</v>
      </c>
      <c r="F52" s="5" t="s">
        <v>2235</v>
      </c>
      <c r="G52" s="5" t="s">
        <v>2209</v>
      </c>
      <c r="H52" s="5" t="s">
        <v>2236</v>
      </c>
      <c r="I52" s="5" t="s">
        <v>2153</v>
      </c>
      <c r="J52" s="5" t="s">
        <v>1465</v>
      </c>
      <c r="K52" s="5">
        <v>2.0</v>
      </c>
      <c r="L52" s="5" t="b">
        <v>1</v>
      </c>
      <c r="M52" s="5" t="s">
        <v>1944</v>
      </c>
      <c r="N52" s="5" t="b">
        <v>1</v>
      </c>
    </row>
    <row r="53">
      <c r="A53" s="5" t="s">
        <v>2237</v>
      </c>
      <c r="B53" s="5" t="s">
        <v>2238</v>
      </c>
      <c r="C53" s="5" t="s">
        <v>2209</v>
      </c>
      <c r="D53" s="5" t="s">
        <v>2239</v>
      </c>
      <c r="E53" s="5" t="s">
        <v>2240</v>
      </c>
      <c r="F53" s="5">
        <v>8.4</v>
      </c>
      <c r="G53" s="5" t="s">
        <v>2209</v>
      </c>
      <c r="H53" s="5" t="s">
        <v>2241</v>
      </c>
      <c r="I53" s="5" t="s">
        <v>1966</v>
      </c>
      <c r="J53" s="5" t="s">
        <v>1452</v>
      </c>
      <c r="K53" s="5">
        <v>3.0</v>
      </c>
      <c r="L53" s="5" t="b">
        <v>1</v>
      </c>
      <c r="M53" s="5" t="s">
        <v>1944</v>
      </c>
      <c r="N53" s="5" t="b">
        <v>1</v>
      </c>
    </row>
    <row r="54">
      <c r="A54" s="5" t="s">
        <v>2242</v>
      </c>
      <c r="B54" s="5" t="s">
        <v>2243</v>
      </c>
      <c r="C54" s="5" t="s">
        <v>2244</v>
      </c>
      <c r="D54" s="5" t="s">
        <v>2245</v>
      </c>
      <c r="E54" s="5" t="s">
        <v>2246</v>
      </c>
      <c r="F54" s="5" t="s">
        <v>1760</v>
      </c>
      <c r="G54" s="5" t="s">
        <v>1807</v>
      </c>
      <c r="H54" s="5" t="s">
        <v>2247</v>
      </c>
      <c r="I54" s="5" t="s">
        <v>1966</v>
      </c>
      <c r="J54" s="5" t="s">
        <v>1452</v>
      </c>
      <c r="K54" s="5">
        <v>3.0</v>
      </c>
      <c r="L54" s="5" t="b">
        <v>1</v>
      </c>
      <c r="M54" s="5" t="s">
        <v>1944</v>
      </c>
      <c r="N54" s="5" t="b">
        <v>1</v>
      </c>
    </row>
    <row r="55">
      <c r="A55" s="5" t="s">
        <v>2248</v>
      </c>
      <c r="B55" s="5" t="s">
        <v>2249</v>
      </c>
      <c r="C55" s="5" t="s">
        <v>2244</v>
      </c>
      <c r="D55" s="5" t="s">
        <v>2250</v>
      </c>
      <c r="E55" s="5" t="s">
        <v>2251</v>
      </c>
      <c r="F55" s="5" t="s">
        <v>1760</v>
      </c>
      <c r="G55" s="5" t="s">
        <v>1807</v>
      </c>
      <c r="H55" s="5" t="s">
        <v>2252</v>
      </c>
      <c r="I55" s="5" t="s">
        <v>1966</v>
      </c>
      <c r="J55" s="5" t="s">
        <v>1452</v>
      </c>
      <c r="K55" s="5">
        <v>3.0</v>
      </c>
      <c r="L55" s="5" t="b">
        <v>1</v>
      </c>
      <c r="M55" s="5" t="s">
        <v>1944</v>
      </c>
      <c r="N55" s="5" t="b">
        <v>1</v>
      </c>
    </row>
    <row r="56">
      <c r="A56" s="5" t="s">
        <v>2253</v>
      </c>
      <c r="B56" s="5" t="s">
        <v>2254</v>
      </c>
      <c r="C56" s="5" t="s">
        <v>2244</v>
      </c>
      <c r="D56" s="5" t="s">
        <v>2255</v>
      </c>
      <c r="E56" s="5" t="s">
        <v>2256</v>
      </c>
      <c r="F56" s="5" t="s">
        <v>2257</v>
      </c>
      <c r="G56" s="5" t="s">
        <v>1807</v>
      </c>
      <c r="H56" s="5" t="s">
        <v>2258</v>
      </c>
      <c r="I56" s="5" t="s">
        <v>2259</v>
      </c>
      <c r="J56" s="5" t="s">
        <v>1452</v>
      </c>
      <c r="K56" s="5">
        <v>3.0</v>
      </c>
      <c r="L56" s="5" t="b">
        <v>1</v>
      </c>
      <c r="M56" s="5" t="s">
        <v>1944</v>
      </c>
      <c r="N56" s="5" t="b">
        <v>1</v>
      </c>
    </row>
    <row r="57">
      <c r="A57" s="5" t="s">
        <v>2260</v>
      </c>
      <c r="B57" s="5" t="s">
        <v>2261</v>
      </c>
      <c r="C57" s="5" t="s">
        <v>2244</v>
      </c>
      <c r="D57" s="5" t="s">
        <v>2262</v>
      </c>
      <c r="E57" s="5" t="s">
        <v>2263</v>
      </c>
      <c r="F57" s="5">
        <v>8.7</v>
      </c>
      <c r="G57" s="5" t="s">
        <v>1807</v>
      </c>
      <c r="H57" s="5" t="s">
        <v>2264</v>
      </c>
      <c r="I57" s="5" t="s">
        <v>2147</v>
      </c>
      <c r="J57" s="5" t="s">
        <v>1452</v>
      </c>
      <c r="K57" s="5">
        <v>3.0</v>
      </c>
      <c r="L57" s="5" t="b">
        <v>1</v>
      </c>
      <c r="M57" s="5" t="s">
        <v>1944</v>
      </c>
      <c r="N57" s="5" t="b">
        <v>1</v>
      </c>
    </row>
    <row r="58">
      <c r="A58" s="5" t="s">
        <v>2265</v>
      </c>
      <c r="B58" s="5" t="s">
        <v>2266</v>
      </c>
      <c r="C58" s="5" t="s">
        <v>2244</v>
      </c>
      <c r="D58" s="5" t="s">
        <v>2267</v>
      </c>
      <c r="E58" s="5" t="s">
        <v>2268</v>
      </c>
      <c r="F58" s="5">
        <v>10.2</v>
      </c>
      <c r="G58" s="5" t="s">
        <v>1807</v>
      </c>
      <c r="H58" s="5" t="s">
        <v>2269</v>
      </c>
      <c r="I58" s="5" t="s">
        <v>1966</v>
      </c>
      <c r="J58" s="5" t="s">
        <v>1452</v>
      </c>
      <c r="K58" s="5">
        <v>3.0</v>
      </c>
      <c r="L58" s="5" t="b">
        <v>1</v>
      </c>
      <c r="M58" s="5" t="s">
        <v>1944</v>
      </c>
      <c r="N58" s="5" t="b">
        <v>1</v>
      </c>
    </row>
    <row r="59">
      <c r="A59" s="5" t="s">
        <v>2270</v>
      </c>
      <c r="B59" s="5" t="s">
        <v>2271</v>
      </c>
      <c r="C59" s="5" t="s">
        <v>2244</v>
      </c>
      <c r="D59" s="5" t="s">
        <v>2272</v>
      </c>
      <c r="E59" s="5" t="s">
        <v>2273</v>
      </c>
      <c r="F59" s="5">
        <v>10.2</v>
      </c>
      <c r="G59" s="5" t="s">
        <v>1807</v>
      </c>
      <c r="H59" s="5" t="s">
        <v>2274</v>
      </c>
      <c r="I59" s="5" t="s">
        <v>1966</v>
      </c>
      <c r="J59" s="5" t="s">
        <v>1452</v>
      </c>
      <c r="K59" s="5">
        <v>3.0</v>
      </c>
      <c r="L59" s="5" t="b">
        <v>1</v>
      </c>
      <c r="M59" s="5" t="s">
        <v>1944</v>
      </c>
      <c r="N59" s="5" t="b">
        <v>1</v>
      </c>
    </row>
    <row r="60">
      <c r="A60" s="5" t="s">
        <v>2275</v>
      </c>
      <c r="B60" s="5" t="s">
        <v>2276</v>
      </c>
      <c r="C60" s="5" t="s">
        <v>2244</v>
      </c>
      <c r="D60" s="5" t="s">
        <v>2277</v>
      </c>
      <c r="E60" s="5" t="s">
        <v>2278</v>
      </c>
      <c r="F60" s="5">
        <v>10.2</v>
      </c>
      <c r="G60" s="5" t="s">
        <v>1807</v>
      </c>
      <c r="H60" s="5" t="s">
        <v>2279</v>
      </c>
      <c r="I60" s="5" t="s">
        <v>2140</v>
      </c>
      <c r="J60" s="5" t="s">
        <v>1452</v>
      </c>
      <c r="K60" s="5">
        <v>3.0</v>
      </c>
      <c r="L60" s="5" t="b">
        <v>1</v>
      </c>
      <c r="M60" s="5" t="s">
        <v>1944</v>
      </c>
      <c r="N60" s="5" t="b">
        <v>1</v>
      </c>
    </row>
    <row r="61">
      <c r="A61" s="5" t="s">
        <v>2280</v>
      </c>
      <c r="B61" s="5" t="s">
        <v>2281</v>
      </c>
      <c r="C61" s="5" t="s">
        <v>2244</v>
      </c>
      <c r="D61" s="5" t="s">
        <v>2282</v>
      </c>
      <c r="E61" s="5" t="s">
        <v>2283</v>
      </c>
      <c r="F61" s="5" t="s">
        <v>2284</v>
      </c>
      <c r="G61" s="5" t="s">
        <v>1807</v>
      </c>
      <c r="H61" s="5" t="s">
        <v>2285</v>
      </c>
      <c r="I61" s="5" t="s">
        <v>2153</v>
      </c>
      <c r="J61" s="5" t="s">
        <v>1452</v>
      </c>
      <c r="K61" s="5">
        <v>3.0</v>
      </c>
      <c r="L61" s="5" t="b">
        <v>1</v>
      </c>
      <c r="M61" s="5" t="s">
        <v>1944</v>
      </c>
      <c r="N61" s="5" t="b">
        <v>1</v>
      </c>
    </row>
    <row r="62">
      <c r="A62" s="5" t="s">
        <v>2286</v>
      </c>
      <c r="B62" s="5" t="s">
        <v>2287</v>
      </c>
      <c r="C62" s="5" t="s">
        <v>2244</v>
      </c>
      <c r="D62" s="5" t="s">
        <v>2288</v>
      </c>
      <c r="E62" s="5" t="s">
        <v>2289</v>
      </c>
      <c r="F62" s="5" t="s">
        <v>2158</v>
      </c>
      <c r="G62" s="5" t="s">
        <v>1807</v>
      </c>
      <c r="H62" s="5" t="s">
        <v>2290</v>
      </c>
      <c r="I62" s="5" t="s">
        <v>2189</v>
      </c>
      <c r="J62" s="5" t="s">
        <v>1452</v>
      </c>
      <c r="K62" s="5">
        <v>3.0</v>
      </c>
      <c r="L62" s="5" t="b">
        <v>1</v>
      </c>
      <c r="M62" s="5" t="s">
        <v>1944</v>
      </c>
      <c r="N62" s="5" t="b">
        <v>1</v>
      </c>
    </row>
    <row r="63">
      <c r="A63" s="5" t="s">
        <v>2291</v>
      </c>
      <c r="B63" s="5" t="s">
        <v>2292</v>
      </c>
      <c r="C63" s="5" t="s">
        <v>2244</v>
      </c>
      <c r="D63" s="5" t="s">
        <v>2293</v>
      </c>
      <c r="E63" s="5" t="s">
        <v>2294</v>
      </c>
      <c r="F63" s="5">
        <v>10.3</v>
      </c>
      <c r="G63" s="5" t="s">
        <v>1807</v>
      </c>
      <c r="H63" s="5" t="s">
        <v>2295</v>
      </c>
      <c r="I63" s="5" t="s">
        <v>1966</v>
      </c>
      <c r="J63" s="5" t="s">
        <v>1465</v>
      </c>
      <c r="K63" s="5">
        <v>2.0</v>
      </c>
      <c r="L63" s="5" t="b">
        <v>1</v>
      </c>
      <c r="M63" s="5" t="s">
        <v>1944</v>
      </c>
      <c r="N63" s="5" t="b">
        <v>1</v>
      </c>
    </row>
    <row r="64">
      <c r="A64" s="5" t="s">
        <v>2296</v>
      </c>
      <c r="B64" s="5" t="s">
        <v>2297</v>
      </c>
      <c r="C64" s="5" t="s">
        <v>2298</v>
      </c>
      <c r="D64" s="5" t="s">
        <v>2299</v>
      </c>
      <c r="E64" s="5" t="s">
        <v>2300</v>
      </c>
      <c r="F64" s="5" t="s">
        <v>2301</v>
      </c>
      <c r="G64" s="5" t="s">
        <v>1360</v>
      </c>
      <c r="H64" s="5" t="s">
        <v>2302</v>
      </c>
      <c r="I64" s="5" t="s">
        <v>2303</v>
      </c>
      <c r="J64" s="5" t="s">
        <v>1465</v>
      </c>
      <c r="K64" s="5">
        <v>2.0</v>
      </c>
      <c r="L64" s="5" t="b">
        <v>1</v>
      </c>
      <c r="M64" s="5" t="s">
        <v>1944</v>
      </c>
      <c r="N64" s="5" t="b">
        <v>1</v>
      </c>
    </row>
    <row r="65">
      <c r="A65" s="5" t="s">
        <v>2304</v>
      </c>
      <c r="B65" s="5" t="s">
        <v>2305</v>
      </c>
      <c r="C65" s="5" t="s">
        <v>2298</v>
      </c>
      <c r="D65" s="5" t="s">
        <v>2306</v>
      </c>
      <c r="E65" s="5" t="s">
        <v>2300</v>
      </c>
      <c r="F65" s="5">
        <v>6.2</v>
      </c>
      <c r="G65" s="5" t="s">
        <v>1360</v>
      </c>
      <c r="H65" s="5" t="s">
        <v>2307</v>
      </c>
      <c r="I65" s="5" t="s">
        <v>2303</v>
      </c>
      <c r="J65" s="5" t="s">
        <v>1465</v>
      </c>
      <c r="K65" s="5">
        <v>2.0</v>
      </c>
      <c r="L65" s="5" t="b">
        <v>1</v>
      </c>
      <c r="M65" s="5" t="s">
        <v>1944</v>
      </c>
      <c r="N65" s="5" t="b">
        <v>1</v>
      </c>
    </row>
    <row r="66">
      <c r="A66" s="5" t="s">
        <v>2308</v>
      </c>
      <c r="B66" s="5" t="s">
        <v>2309</v>
      </c>
      <c r="C66" s="5" t="s">
        <v>2298</v>
      </c>
      <c r="D66" s="5" t="s">
        <v>2310</v>
      </c>
      <c r="E66" s="5" t="s">
        <v>2300</v>
      </c>
      <c r="F66" s="5" t="s">
        <v>1649</v>
      </c>
      <c r="G66" s="5" t="s">
        <v>1360</v>
      </c>
      <c r="H66" s="5" t="s">
        <v>2311</v>
      </c>
      <c r="I66" s="5" t="s">
        <v>2303</v>
      </c>
      <c r="J66" s="5" t="s">
        <v>1465</v>
      </c>
      <c r="K66" s="5">
        <v>2.0</v>
      </c>
      <c r="L66" s="5" t="b">
        <v>1</v>
      </c>
      <c r="M66" s="5" t="s">
        <v>1944</v>
      </c>
      <c r="N66" s="5" t="b">
        <v>1</v>
      </c>
    </row>
    <row r="67">
      <c r="A67" s="5" t="s">
        <v>2312</v>
      </c>
      <c r="B67" s="5" t="s">
        <v>2313</v>
      </c>
      <c r="C67" s="5" t="s">
        <v>2298</v>
      </c>
      <c r="D67" s="5" t="s">
        <v>2314</v>
      </c>
      <c r="E67" s="5" t="s">
        <v>2300</v>
      </c>
      <c r="F67" s="5">
        <v>9.3</v>
      </c>
      <c r="G67" s="5" t="s">
        <v>1360</v>
      </c>
      <c r="H67" s="5" t="s">
        <v>2315</v>
      </c>
      <c r="I67" s="5" t="s">
        <v>2303</v>
      </c>
      <c r="J67" s="5" t="s">
        <v>1465</v>
      </c>
      <c r="K67" s="5">
        <v>2.0</v>
      </c>
      <c r="L67" s="5" t="b">
        <v>1</v>
      </c>
      <c r="M67" s="5" t="s">
        <v>1944</v>
      </c>
      <c r="N67" s="5" t="b">
        <v>1</v>
      </c>
    </row>
    <row r="68">
      <c r="A68" s="5" t="s">
        <v>2316</v>
      </c>
      <c r="B68" s="5" t="s">
        <v>2317</v>
      </c>
      <c r="C68" s="5" t="s">
        <v>2298</v>
      </c>
      <c r="D68" s="5" t="s">
        <v>2318</v>
      </c>
      <c r="E68" s="5" t="s">
        <v>2300</v>
      </c>
      <c r="F68" s="5">
        <v>9.3</v>
      </c>
      <c r="G68" s="5" t="s">
        <v>1360</v>
      </c>
      <c r="H68" s="5" t="s">
        <v>2319</v>
      </c>
      <c r="I68" s="5" t="s">
        <v>2303</v>
      </c>
      <c r="J68" s="5" t="s">
        <v>1465</v>
      </c>
      <c r="K68" s="5">
        <v>2.0</v>
      </c>
      <c r="L68" s="5" t="b">
        <v>1</v>
      </c>
      <c r="M68" s="5" t="s">
        <v>1944</v>
      </c>
      <c r="N68" s="5" t="b">
        <v>1</v>
      </c>
    </row>
    <row r="69">
      <c r="A69" s="5" t="s">
        <v>2320</v>
      </c>
      <c r="B69" s="5" t="s">
        <v>2321</v>
      </c>
      <c r="C69" s="5" t="s">
        <v>2298</v>
      </c>
      <c r="D69" s="5" t="s">
        <v>2322</v>
      </c>
      <c r="E69" s="5" t="s">
        <v>2300</v>
      </c>
      <c r="F69" s="5" t="s">
        <v>2323</v>
      </c>
      <c r="G69" s="5" t="s">
        <v>1360</v>
      </c>
      <c r="H69" s="5" t="s">
        <v>2324</v>
      </c>
      <c r="I69" s="5" t="s">
        <v>2303</v>
      </c>
      <c r="J69" s="5" t="s">
        <v>1465</v>
      </c>
      <c r="K69" s="5">
        <v>2.0</v>
      </c>
      <c r="L69" s="5" t="b">
        <v>1</v>
      </c>
      <c r="M69" s="5" t="s">
        <v>1944</v>
      </c>
      <c r="N69" s="5" t="b">
        <v>1</v>
      </c>
    </row>
    <row r="70">
      <c r="A70" s="5" t="s">
        <v>2325</v>
      </c>
      <c r="B70" s="5" t="s">
        <v>2326</v>
      </c>
      <c r="C70" s="5" t="s">
        <v>2298</v>
      </c>
      <c r="D70" s="5" t="s">
        <v>2327</v>
      </c>
      <c r="E70" s="5" t="s">
        <v>2300</v>
      </c>
      <c r="F70" s="5" t="s">
        <v>2328</v>
      </c>
      <c r="G70" s="5" t="s">
        <v>1360</v>
      </c>
      <c r="H70" s="5" t="s">
        <v>2329</v>
      </c>
      <c r="I70" s="5" t="s">
        <v>2303</v>
      </c>
      <c r="J70" s="5" t="s">
        <v>1465</v>
      </c>
      <c r="K70" s="5">
        <v>2.0</v>
      </c>
      <c r="L70" s="5" t="b">
        <v>1</v>
      </c>
      <c r="M70" s="5" t="s">
        <v>1944</v>
      </c>
      <c r="N70" s="5" t="b">
        <v>1</v>
      </c>
    </row>
    <row r="71">
      <c r="A71" s="5" t="s">
        <v>2330</v>
      </c>
      <c r="B71" s="5" t="s">
        <v>2331</v>
      </c>
      <c r="C71" s="5" t="s">
        <v>2298</v>
      </c>
      <c r="D71" s="5" t="s">
        <v>2332</v>
      </c>
      <c r="E71" s="5" t="s">
        <v>2300</v>
      </c>
      <c r="F71" s="5">
        <v>6.3</v>
      </c>
      <c r="G71" s="5" t="s">
        <v>1360</v>
      </c>
      <c r="H71" s="5" t="s">
        <v>2333</v>
      </c>
      <c r="I71" s="5" t="s">
        <v>2303</v>
      </c>
      <c r="J71" s="5" t="s">
        <v>1465</v>
      </c>
      <c r="K71" s="5">
        <v>2.0</v>
      </c>
      <c r="L71" s="5" t="b">
        <v>1</v>
      </c>
      <c r="M71" s="5" t="s">
        <v>1944</v>
      </c>
      <c r="N71" s="5" t="b">
        <v>1</v>
      </c>
    </row>
    <row r="72">
      <c r="A72" s="5" t="s">
        <v>2334</v>
      </c>
      <c r="B72" s="5" t="s">
        <v>2335</v>
      </c>
      <c r="C72" s="5" t="s">
        <v>2336</v>
      </c>
      <c r="D72" s="5" t="s">
        <v>2337</v>
      </c>
      <c r="E72" s="5" t="s">
        <v>2300</v>
      </c>
      <c r="F72" s="5">
        <v>6.2</v>
      </c>
      <c r="G72" s="5" t="s">
        <v>1371</v>
      </c>
      <c r="H72" s="5" t="s">
        <v>2338</v>
      </c>
      <c r="I72" s="5" t="s">
        <v>2303</v>
      </c>
      <c r="J72" s="5" t="s">
        <v>1465</v>
      </c>
      <c r="K72" s="5">
        <v>2.0</v>
      </c>
      <c r="L72" s="5" t="b">
        <v>1</v>
      </c>
      <c r="M72" s="5" t="s">
        <v>1944</v>
      </c>
      <c r="N72" s="5" t="b">
        <v>1</v>
      </c>
    </row>
    <row r="73">
      <c r="A73" s="5" t="s">
        <v>2339</v>
      </c>
      <c r="B73" s="5" t="s">
        <v>2340</v>
      </c>
      <c r="C73" s="5" t="s">
        <v>2336</v>
      </c>
      <c r="D73" s="5" t="s">
        <v>2341</v>
      </c>
      <c r="E73" s="5" t="s">
        <v>2300</v>
      </c>
      <c r="F73" s="5">
        <v>6.2</v>
      </c>
      <c r="G73" s="5" t="s">
        <v>1371</v>
      </c>
      <c r="H73" s="5" t="s">
        <v>2342</v>
      </c>
      <c r="I73" s="5" t="s">
        <v>2303</v>
      </c>
      <c r="J73" s="5" t="s">
        <v>1465</v>
      </c>
      <c r="K73" s="5">
        <v>2.0</v>
      </c>
      <c r="L73" s="5" t="b">
        <v>1</v>
      </c>
      <c r="M73" s="5" t="s">
        <v>1944</v>
      </c>
      <c r="N73" s="5" t="b">
        <v>1</v>
      </c>
    </row>
    <row r="74">
      <c r="A74" s="5" t="s">
        <v>2343</v>
      </c>
      <c r="B74" s="5" t="s">
        <v>2344</v>
      </c>
      <c r="C74" s="5" t="s">
        <v>2336</v>
      </c>
      <c r="D74" s="5" t="s">
        <v>2345</v>
      </c>
      <c r="E74" s="5" t="s">
        <v>2300</v>
      </c>
      <c r="F74" s="5" t="s">
        <v>1760</v>
      </c>
      <c r="G74" s="5" t="s">
        <v>1371</v>
      </c>
      <c r="H74" s="5" t="s">
        <v>2346</v>
      </c>
      <c r="I74" s="5" t="s">
        <v>2303</v>
      </c>
      <c r="J74" s="5" t="s">
        <v>1465</v>
      </c>
      <c r="K74" s="5">
        <v>2.0</v>
      </c>
      <c r="L74" s="5" t="b">
        <v>1</v>
      </c>
      <c r="M74" s="5" t="s">
        <v>1944</v>
      </c>
      <c r="N74" s="5" t="b">
        <v>1</v>
      </c>
    </row>
    <row r="75">
      <c r="A75" s="5" t="s">
        <v>2347</v>
      </c>
      <c r="B75" s="5" t="s">
        <v>2348</v>
      </c>
      <c r="C75" s="5" t="s">
        <v>2336</v>
      </c>
      <c r="D75" s="5" t="s">
        <v>2349</v>
      </c>
      <c r="E75" s="5" t="s">
        <v>2300</v>
      </c>
      <c r="F75" s="5">
        <v>8.1</v>
      </c>
      <c r="G75" s="5" t="s">
        <v>1371</v>
      </c>
      <c r="H75" s="5" t="s">
        <v>2350</v>
      </c>
      <c r="I75" s="5" t="s">
        <v>2303</v>
      </c>
      <c r="J75" s="5" t="s">
        <v>1465</v>
      </c>
      <c r="K75" s="5">
        <v>2.0</v>
      </c>
      <c r="L75" s="5" t="b">
        <v>1</v>
      </c>
      <c r="M75" s="5" t="s">
        <v>1944</v>
      </c>
      <c r="N75" s="5" t="b">
        <v>1</v>
      </c>
    </row>
    <row r="76">
      <c r="A76" s="5" t="s">
        <v>2351</v>
      </c>
      <c r="B76" s="5" t="s">
        <v>2352</v>
      </c>
      <c r="C76" s="5" t="s">
        <v>2336</v>
      </c>
      <c r="D76" s="5" t="s">
        <v>2353</v>
      </c>
      <c r="E76" s="5" t="s">
        <v>2300</v>
      </c>
      <c r="F76" s="5" t="s">
        <v>2354</v>
      </c>
      <c r="G76" s="5" t="s">
        <v>1371</v>
      </c>
      <c r="H76" s="5" t="s">
        <v>2355</v>
      </c>
      <c r="I76" s="5" t="s">
        <v>2303</v>
      </c>
      <c r="J76" s="5" t="s">
        <v>1465</v>
      </c>
      <c r="K76" s="5">
        <v>2.0</v>
      </c>
      <c r="L76" s="5" t="b">
        <v>1</v>
      </c>
      <c r="M76" s="5" t="s">
        <v>1944</v>
      </c>
      <c r="N76" s="5" t="b">
        <v>1</v>
      </c>
    </row>
    <row r="77">
      <c r="A77" s="5" t="s">
        <v>2356</v>
      </c>
      <c r="B77" s="5" t="s">
        <v>2357</v>
      </c>
      <c r="C77" s="5" t="s">
        <v>2336</v>
      </c>
      <c r="D77" s="5" t="s">
        <v>2358</v>
      </c>
      <c r="E77" s="5" t="s">
        <v>2300</v>
      </c>
      <c r="F77" s="5" t="s">
        <v>1760</v>
      </c>
      <c r="G77" s="5" t="s">
        <v>1371</v>
      </c>
      <c r="H77" s="5" t="s">
        <v>2359</v>
      </c>
      <c r="I77" s="5" t="s">
        <v>2303</v>
      </c>
      <c r="J77" s="5" t="s">
        <v>1465</v>
      </c>
      <c r="K77" s="5">
        <v>2.0</v>
      </c>
      <c r="L77" s="5" t="b">
        <v>1</v>
      </c>
      <c r="M77" s="5" t="s">
        <v>1944</v>
      </c>
      <c r="N77" s="5" t="b">
        <v>1</v>
      </c>
    </row>
    <row r="78">
      <c r="A78" s="5" t="s">
        <v>2360</v>
      </c>
      <c r="B78" s="5" t="s">
        <v>2361</v>
      </c>
      <c r="C78" s="5" t="s">
        <v>2336</v>
      </c>
      <c r="D78" s="5" t="s">
        <v>2362</v>
      </c>
      <c r="E78" s="5" t="s">
        <v>2300</v>
      </c>
      <c r="F78" s="5" t="s">
        <v>1770</v>
      </c>
      <c r="G78" s="5" t="s">
        <v>1371</v>
      </c>
      <c r="H78" s="5" t="s">
        <v>2363</v>
      </c>
      <c r="I78" s="5" t="s">
        <v>2303</v>
      </c>
      <c r="J78" s="5" t="s">
        <v>1465</v>
      </c>
      <c r="K78" s="5">
        <v>2.0</v>
      </c>
      <c r="L78" s="5" t="b">
        <v>1</v>
      </c>
      <c r="M78" s="5" t="s">
        <v>1944</v>
      </c>
      <c r="N78" s="5" t="b">
        <v>1</v>
      </c>
    </row>
    <row r="79">
      <c r="A79" s="5" t="s">
        <v>2364</v>
      </c>
      <c r="B79" s="5" t="s">
        <v>2365</v>
      </c>
      <c r="C79" s="5" t="s">
        <v>2336</v>
      </c>
      <c r="D79" s="5" t="s">
        <v>2366</v>
      </c>
      <c r="E79" s="5" t="s">
        <v>2300</v>
      </c>
      <c r="F79" s="5">
        <v>10.3</v>
      </c>
      <c r="G79" s="5" t="s">
        <v>1371</v>
      </c>
      <c r="H79" s="5" t="s">
        <v>2367</v>
      </c>
      <c r="I79" s="5" t="s">
        <v>2303</v>
      </c>
      <c r="J79" s="5" t="s">
        <v>1465</v>
      </c>
      <c r="K79" s="5">
        <v>2.0</v>
      </c>
      <c r="L79" s="5" t="b">
        <v>1</v>
      </c>
      <c r="M79" s="5" t="s">
        <v>1944</v>
      </c>
      <c r="N79" s="5" t="b">
        <v>1</v>
      </c>
    </row>
    <row r="80">
      <c r="A80" s="5" t="s">
        <v>2368</v>
      </c>
      <c r="B80" s="5" t="s">
        <v>2369</v>
      </c>
      <c r="C80" s="5" t="s">
        <v>2370</v>
      </c>
      <c r="D80" s="5" t="s">
        <v>2371</v>
      </c>
      <c r="E80" s="5" t="s">
        <v>2300</v>
      </c>
      <c r="F80" s="5">
        <v>8.1</v>
      </c>
      <c r="G80" s="5" t="s">
        <v>1376</v>
      </c>
      <c r="H80" s="5" t="s">
        <v>2372</v>
      </c>
      <c r="I80" s="5" t="s">
        <v>2303</v>
      </c>
      <c r="J80" s="5" t="s">
        <v>1452</v>
      </c>
      <c r="K80" s="5">
        <v>3.0</v>
      </c>
      <c r="L80" s="5" t="b">
        <v>1</v>
      </c>
      <c r="M80" s="5" t="s">
        <v>1944</v>
      </c>
      <c r="N80" s="5" t="b">
        <v>1</v>
      </c>
    </row>
    <row r="81">
      <c r="A81" s="5" t="s">
        <v>2373</v>
      </c>
      <c r="B81" s="5" t="s">
        <v>2374</v>
      </c>
      <c r="C81" s="5" t="s">
        <v>2370</v>
      </c>
      <c r="D81" s="5" t="s">
        <v>2375</v>
      </c>
      <c r="E81" s="5" t="s">
        <v>2300</v>
      </c>
      <c r="F81" s="5" t="s">
        <v>2376</v>
      </c>
      <c r="G81" s="5" t="s">
        <v>1376</v>
      </c>
      <c r="H81" s="5" t="s">
        <v>2377</v>
      </c>
      <c r="I81" s="5" t="s">
        <v>2303</v>
      </c>
      <c r="J81" s="5" t="s">
        <v>1452</v>
      </c>
      <c r="K81" s="5">
        <v>3.0</v>
      </c>
      <c r="L81" s="5" t="b">
        <v>1</v>
      </c>
      <c r="M81" s="5" t="s">
        <v>1944</v>
      </c>
      <c r="N81" s="5" t="b">
        <v>1</v>
      </c>
    </row>
    <row r="82">
      <c r="A82" s="5" t="s">
        <v>2378</v>
      </c>
      <c r="B82" s="5" t="s">
        <v>2379</v>
      </c>
      <c r="C82" s="5" t="s">
        <v>2370</v>
      </c>
      <c r="D82" s="5" t="s">
        <v>2380</v>
      </c>
      <c r="E82" s="5" t="s">
        <v>2300</v>
      </c>
      <c r="F82" s="5" t="s">
        <v>2381</v>
      </c>
      <c r="G82" s="5" t="s">
        <v>1376</v>
      </c>
      <c r="H82" s="5" t="s">
        <v>2382</v>
      </c>
      <c r="I82" s="5" t="s">
        <v>2303</v>
      </c>
      <c r="J82" s="5" t="s">
        <v>1452</v>
      </c>
      <c r="K82" s="5">
        <v>3.0</v>
      </c>
      <c r="L82" s="5" t="b">
        <v>1</v>
      </c>
      <c r="M82" s="5" t="s">
        <v>1944</v>
      </c>
      <c r="N82" s="5" t="b">
        <v>1</v>
      </c>
    </row>
    <row r="83">
      <c r="A83" s="5" t="s">
        <v>2383</v>
      </c>
      <c r="B83" s="5" t="s">
        <v>2384</v>
      </c>
      <c r="C83" s="5" t="s">
        <v>2370</v>
      </c>
      <c r="D83" s="5" t="s">
        <v>2385</v>
      </c>
      <c r="E83" s="5" t="s">
        <v>2300</v>
      </c>
      <c r="F83" s="5">
        <v>8.6</v>
      </c>
      <c r="G83" s="5" t="s">
        <v>1376</v>
      </c>
      <c r="H83" s="5" t="s">
        <v>2386</v>
      </c>
      <c r="I83" s="5" t="s">
        <v>2303</v>
      </c>
      <c r="J83" s="5" t="s">
        <v>1452</v>
      </c>
      <c r="K83" s="5">
        <v>3.0</v>
      </c>
      <c r="L83" s="5" t="b">
        <v>1</v>
      </c>
      <c r="M83" s="5" t="s">
        <v>1944</v>
      </c>
      <c r="N83" s="5" t="b">
        <v>1</v>
      </c>
    </row>
    <row r="84">
      <c r="A84" s="5" t="s">
        <v>2387</v>
      </c>
      <c r="B84" s="5" t="s">
        <v>2388</v>
      </c>
      <c r="C84" s="5" t="s">
        <v>2370</v>
      </c>
      <c r="D84" s="5" t="s">
        <v>2389</v>
      </c>
      <c r="E84" s="5" t="s">
        <v>2300</v>
      </c>
      <c r="F84" s="5" t="s">
        <v>1760</v>
      </c>
      <c r="G84" s="5" t="s">
        <v>1376</v>
      </c>
      <c r="H84" s="5" t="s">
        <v>2390</v>
      </c>
      <c r="I84" s="5" t="s">
        <v>2303</v>
      </c>
      <c r="J84" s="5" t="s">
        <v>1452</v>
      </c>
      <c r="K84" s="5">
        <v>3.0</v>
      </c>
      <c r="L84" s="5" t="b">
        <v>1</v>
      </c>
      <c r="M84" s="5" t="s">
        <v>1944</v>
      </c>
      <c r="N84" s="5" t="b">
        <v>1</v>
      </c>
    </row>
    <row r="85">
      <c r="A85" s="5" t="s">
        <v>2391</v>
      </c>
      <c r="B85" s="5" t="s">
        <v>2392</v>
      </c>
      <c r="C85" s="5" t="s">
        <v>2370</v>
      </c>
      <c r="D85" s="5" t="s">
        <v>2393</v>
      </c>
      <c r="E85" s="5" t="s">
        <v>2300</v>
      </c>
      <c r="F85" s="5" t="s">
        <v>2394</v>
      </c>
      <c r="G85" s="5" t="s">
        <v>1376</v>
      </c>
      <c r="H85" s="5" t="s">
        <v>2395</v>
      </c>
      <c r="I85" s="5" t="s">
        <v>2303</v>
      </c>
      <c r="J85" s="5" t="s">
        <v>1452</v>
      </c>
      <c r="K85" s="5">
        <v>3.0</v>
      </c>
      <c r="L85" s="5" t="b">
        <v>1</v>
      </c>
      <c r="M85" s="5" t="s">
        <v>1944</v>
      </c>
      <c r="N85" s="5" t="b">
        <v>1</v>
      </c>
    </row>
    <row r="86">
      <c r="A86" s="5" t="s">
        <v>2396</v>
      </c>
      <c r="B86" s="5" t="s">
        <v>2397</v>
      </c>
      <c r="C86" s="5" t="s">
        <v>2370</v>
      </c>
      <c r="D86" s="5" t="s">
        <v>2398</v>
      </c>
      <c r="E86" s="5" t="s">
        <v>2300</v>
      </c>
      <c r="F86" s="5" t="s">
        <v>2399</v>
      </c>
      <c r="G86" s="5" t="s">
        <v>1376</v>
      </c>
      <c r="H86" s="5" t="s">
        <v>2400</v>
      </c>
      <c r="I86" s="5" t="s">
        <v>2303</v>
      </c>
      <c r="J86" s="5" t="s">
        <v>1452</v>
      </c>
      <c r="K86" s="5">
        <v>3.0</v>
      </c>
      <c r="L86" s="5" t="b">
        <v>1</v>
      </c>
      <c r="M86" s="5" t="s">
        <v>1944</v>
      </c>
      <c r="N86" s="5" t="b">
        <v>1</v>
      </c>
    </row>
    <row r="87">
      <c r="A87" s="5" t="s">
        <v>2401</v>
      </c>
      <c r="B87" s="5" t="s">
        <v>2402</v>
      </c>
      <c r="C87" s="5" t="s">
        <v>2370</v>
      </c>
      <c r="D87" s="5" t="s">
        <v>2403</v>
      </c>
      <c r="E87" s="5" t="s">
        <v>2300</v>
      </c>
      <c r="F87" s="5">
        <v>8.1</v>
      </c>
      <c r="G87" s="5" t="s">
        <v>1376</v>
      </c>
      <c r="H87" s="5" t="s">
        <v>2404</v>
      </c>
      <c r="I87" s="5" t="s">
        <v>2303</v>
      </c>
      <c r="J87" s="5" t="s">
        <v>1452</v>
      </c>
      <c r="K87" s="5">
        <v>3.0</v>
      </c>
      <c r="L87" s="5" t="b">
        <v>1</v>
      </c>
      <c r="M87" s="5" t="s">
        <v>1944</v>
      </c>
      <c r="N87" s="5" t="b">
        <v>1</v>
      </c>
    </row>
    <row r="88">
      <c r="A88" s="5" t="s">
        <v>2405</v>
      </c>
      <c r="B88" s="5" t="s">
        <v>2406</v>
      </c>
      <c r="C88" s="5" t="s">
        <v>2370</v>
      </c>
      <c r="D88" s="5" t="s">
        <v>2407</v>
      </c>
      <c r="E88" s="5" t="s">
        <v>2300</v>
      </c>
      <c r="F88" s="5" t="s">
        <v>1701</v>
      </c>
      <c r="G88" s="5" t="s">
        <v>1376</v>
      </c>
      <c r="H88" s="5" t="s">
        <v>2408</v>
      </c>
      <c r="I88" s="5" t="s">
        <v>2303</v>
      </c>
      <c r="J88" s="5" t="s">
        <v>1452</v>
      </c>
      <c r="K88" s="5">
        <v>3.0</v>
      </c>
      <c r="L88" s="5" t="b">
        <v>1</v>
      </c>
      <c r="M88" s="5" t="s">
        <v>1944</v>
      </c>
      <c r="N88" s="5" t="b">
        <v>1</v>
      </c>
    </row>
    <row r="89">
      <c r="A89" s="5" t="s">
        <v>2409</v>
      </c>
      <c r="B89" s="5" t="s">
        <v>2410</v>
      </c>
      <c r="C89" s="5" t="s">
        <v>2370</v>
      </c>
      <c r="D89" s="5" t="s">
        <v>2411</v>
      </c>
      <c r="E89" s="5" t="s">
        <v>2300</v>
      </c>
      <c r="F89" s="5" t="s">
        <v>2412</v>
      </c>
      <c r="G89" s="5" t="s">
        <v>1376</v>
      </c>
      <c r="H89" s="5" t="s">
        <v>2413</v>
      </c>
      <c r="I89" s="5" t="s">
        <v>2303</v>
      </c>
      <c r="J89" s="5" t="s">
        <v>1452</v>
      </c>
      <c r="K89" s="5">
        <v>3.0</v>
      </c>
      <c r="L89" s="5" t="b">
        <v>1</v>
      </c>
      <c r="M89" s="5" t="s">
        <v>1944</v>
      </c>
      <c r="N89" s="5" t="b">
        <v>1</v>
      </c>
    </row>
    <row r="90">
      <c r="A90" s="5" t="s">
        <v>2414</v>
      </c>
      <c r="B90" s="5" t="s">
        <v>2415</v>
      </c>
      <c r="C90" s="5" t="s">
        <v>2370</v>
      </c>
      <c r="D90" s="5" t="s">
        <v>2416</v>
      </c>
      <c r="E90" s="5" t="s">
        <v>2300</v>
      </c>
      <c r="F90" s="5" t="s">
        <v>2417</v>
      </c>
      <c r="G90" s="5" t="s">
        <v>1376</v>
      </c>
      <c r="H90" s="5" t="s">
        <v>2418</v>
      </c>
      <c r="I90" s="5" t="s">
        <v>2303</v>
      </c>
      <c r="J90" s="5" t="s">
        <v>1452</v>
      </c>
      <c r="K90" s="5">
        <v>3.0</v>
      </c>
      <c r="L90" s="5" t="b">
        <v>1</v>
      </c>
      <c r="M90" s="5" t="s">
        <v>1944</v>
      </c>
      <c r="N90" s="5" t="b">
        <v>1</v>
      </c>
    </row>
    <row r="91">
      <c r="A91" s="5" t="s">
        <v>2419</v>
      </c>
      <c r="B91" s="5" t="s">
        <v>2420</v>
      </c>
      <c r="C91" s="5" t="s">
        <v>2370</v>
      </c>
      <c r="D91" s="5" t="s">
        <v>2421</v>
      </c>
      <c r="E91" s="5" t="s">
        <v>2300</v>
      </c>
      <c r="F91" s="5">
        <v>10.2</v>
      </c>
      <c r="G91" s="5" t="s">
        <v>1376</v>
      </c>
      <c r="H91" s="5" t="s">
        <v>2422</v>
      </c>
      <c r="I91" s="5" t="s">
        <v>2303</v>
      </c>
      <c r="J91" s="5" t="s">
        <v>1452</v>
      </c>
      <c r="K91" s="5">
        <v>3.0</v>
      </c>
      <c r="L91" s="5" t="b">
        <v>1</v>
      </c>
      <c r="M91" s="5" t="s">
        <v>1944</v>
      </c>
      <c r="N91" s="5" t="b">
        <v>1</v>
      </c>
    </row>
    <row r="92">
      <c r="A92" s="5" t="s">
        <v>2423</v>
      </c>
      <c r="B92" s="5" t="s">
        <v>2424</v>
      </c>
      <c r="C92" s="5" t="s">
        <v>2425</v>
      </c>
      <c r="D92" s="5" t="s">
        <v>2426</v>
      </c>
      <c r="E92" s="5" t="s">
        <v>2300</v>
      </c>
      <c r="F92" s="5" t="s">
        <v>1654</v>
      </c>
      <c r="G92" s="5" t="s">
        <v>1376</v>
      </c>
      <c r="H92" s="5" t="s">
        <v>2427</v>
      </c>
      <c r="I92" s="5" t="s">
        <v>2303</v>
      </c>
      <c r="J92" s="5" t="s">
        <v>1465</v>
      </c>
      <c r="K92" s="5">
        <v>2.0</v>
      </c>
      <c r="L92" s="5" t="b">
        <v>1</v>
      </c>
      <c r="M92" s="5" t="s">
        <v>1944</v>
      </c>
      <c r="N92" s="5" t="b">
        <v>1</v>
      </c>
    </row>
    <row r="93">
      <c r="A93" s="5" t="s">
        <v>2428</v>
      </c>
      <c r="B93" s="5" t="s">
        <v>2429</v>
      </c>
      <c r="C93" s="5" t="s">
        <v>2425</v>
      </c>
      <c r="D93" s="5" t="s">
        <v>2430</v>
      </c>
      <c r="E93" s="5" t="s">
        <v>2300</v>
      </c>
      <c r="F93" s="5" t="s">
        <v>1701</v>
      </c>
      <c r="G93" s="5" t="s">
        <v>1376</v>
      </c>
      <c r="H93" s="5" t="s">
        <v>2431</v>
      </c>
      <c r="I93" s="5" t="s">
        <v>2303</v>
      </c>
      <c r="J93" s="5" t="s">
        <v>1465</v>
      </c>
      <c r="K93" s="5">
        <v>2.0</v>
      </c>
      <c r="L93" s="5" t="b">
        <v>1</v>
      </c>
      <c r="M93" s="5" t="s">
        <v>1944</v>
      </c>
      <c r="N93" s="5" t="b">
        <v>1</v>
      </c>
    </row>
    <row r="94">
      <c r="A94" s="5" t="s">
        <v>2432</v>
      </c>
      <c r="B94" s="5" t="s">
        <v>2433</v>
      </c>
      <c r="C94" s="5" t="s">
        <v>2425</v>
      </c>
      <c r="D94" s="5" t="s">
        <v>2434</v>
      </c>
      <c r="E94" s="5" t="s">
        <v>2300</v>
      </c>
      <c r="F94" s="5" t="s">
        <v>2381</v>
      </c>
      <c r="G94" s="5" t="s">
        <v>1376</v>
      </c>
      <c r="H94" s="5" t="s">
        <v>2435</v>
      </c>
      <c r="I94" s="5" t="s">
        <v>2303</v>
      </c>
      <c r="J94" s="5" t="s">
        <v>1465</v>
      </c>
      <c r="K94" s="5">
        <v>2.0</v>
      </c>
      <c r="L94" s="5" t="b">
        <v>1</v>
      </c>
      <c r="M94" s="5" t="s">
        <v>1944</v>
      </c>
      <c r="N94" s="5" t="b">
        <v>1</v>
      </c>
    </row>
    <row r="95">
      <c r="A95" s="5" t="s">
        <v>2436</v>
      </c>
      <c r="B95" s="5" t="s">
        <v>2437</v>
      </c>
      <c r="C95" s="5" t="s">
        <v>2425</v>
      </c>
      <c r="D95" s="5" t="s">
        <v>2438</v>
      </c>
      <c r="E95" s="5" t="s">
        <v>2300</v>
      </c>
      <c r="F95" s="5" t="s">
        <v>1760</v>
      </c>
      <c r="G95" s="5" t="s">
        <v>1376</v>
      </c>
      <c r="H95" s="5" t="s">
        <v>2439</v>
      </c>
      <c r="I95" s="5" t="s">
        <v>2303</v>
      </c>
      <c r="J95" s="5" t="s">
        <v>1465</v>
      </c>
      <c r="K95" s="5">
        <v>2.0</v>
      </c>
      <c r="L95" s="5" t="b">
        <v>1</v>
      </c>
      <c r="M95" s="5" t="s">
        <v>1944</v>
      </c>
      <c r="N95" s="5" t="b">
        <v>1</v>
      </c>
    </row>
    <row r="96">
      <c r="A96" s="5" t="s">
        <v>2440</v>
      </c>
      <c r="B96" s="5" t="s">
        <v>2441</v>
      </c>
      <c r="C96" s="5" t="s">
        <v>2425</v>
      </c>
      <c r="D96" s="5" t="s">
        <v>2442</v>
      </c>
      <c r="E96" s="5" t="s">
        <v>2300</v>
      </c>
      <c r="F96" s="5" t="s">
        <v>2443</v>
      </c>
      <c r="G96" s="5" t="s">
        <v>1376</v>
      </c>
      <c r="H96" s="5" t="s">
        <v>2444</v>
      </c>
      <c r="I96" s="5" t="s">
        <v>2303</v>
      </c>
      <c r="J96" s="5" t="s">
        <v>1465</v>
      </c>
      <c r="K96" s="5">
        <v>2.0</v>
      </c>
      <c r="L96" s="5" t="b">
        <v>1</v>
      </c>
      <c r="M96" s="5" t="s">
        <v>1944</v>
      </c>
      <c r="N96" s="5" t="b">
        <v>1</v>
      </c>
    </row>
    <row r="97">
      <c r="A97" s="5" t="s">
        <v>2445</v>
      </c>
      <c r="B97" s="5" t="s">
        <v>2446</v>
      </c>
      <c r="C97" s="5" t="s">
        <v>2425</v>
      </c>
      <c r="D97" s="5" t="s">
        <v>2447</v>
      </c>
      <c r="E97" s="5" t="s">
        <v>2300</v>
      </c>
      <c r="F97" s="5">
        <v>7.2</v>
      </c>
      <c r="G97" s="5" t="s">
        <v>1376</v>
      </c>
      <c r="H97" s="5" t="s">
        <v>2448</v>
      </c>
      <c r="I97" s="5" t="s">
        <v>2303</v>
      </c>
      <c r="J97" s="5" t="s">
        <v>1465</v>
      </c>
      <c r="K97" s="5">
        <v>2.0</v>
      </c>
      <c r="L97" s="5" t="b">
        <v>1</v>
      </c>
      <c r="M97" s="5" t="s">
        <v>1944</v>
      </c>
      <c r="N97" s="5" t="b">
        <v>1</v>
      </c>
    </row>
    <row r="98">
      <c r="A98" s="5" t="s">
        <v>2449</v>
      </c>
      <c r="B98" s="5" t="s">
        <v>2450</v>
      </c>
      <c r="C98" s="5" t="s">
        <v>2425</v>
      </c>
      <c r="D98" s="5" t="s">
        <v>2451</v>
      </c>
      <c r="E98" s="5" t="s">
        <v>2300</v>
      </c>
      <c r="F98" s="5">
        <v>7.2</v>
      </c>
      <c r="G98" s="5" t="s">
        <v>1376</v>
      </c>
      <c r="H98" s="5" t="s">
        <v>2452</v>
      </c>
      <c r="I98" s="5" t="s">
        <v>2303</v>
      </c>
      <c r="J98" s="5" t="s">
        <v>1465</v>
      </c>
      <c r="K98" s="5">
        <v>2.0</v>
      </c>
      <c r="L98" s="5" t="b">
        <v>1</v>
      </c>
      <c r="M98" s="5" t="s">
        <v>1944</v>
      </c>
      <c r="N98" s="5" t="b">
        <v>1</v>
      </c>
    </row>
    <row r="99">
      <c r="A99" s="5" t="s">
        <v>2453</v>
      </c>
      <c r="B99" s="5" t="s">
        <v>2454</v>
      </c>
      <c r="C99" s="5" t="s">
        <v>2425</v>
      </c>
      <c r="D99" s="5" t="s">
        <v>2455</v>
      </c>
      <c r="E99" s="5" t="s">
        <v>2300</v>
      </c>
      <c r="F99" s="5" t="s">
        <v>1654</v>
      </c>
      <c r="G99" s="5" t="s">
        <v>1376</v>
      </c>
      <c r="H99" s="5" t="s">
        <v>2456</v>
      </c>
      <c r="I99" s="5" t="s">
        <v>2303</v>
      </c>
      <c r="J99" s="5" t="s">
        <v>1465</v>
      </c>
      <c r="K99" s="5">
        <v>2.0</v>
      </c>
      <c r="L99" s="5" t="b">
        <v>1</v>
      </c>
      <c r="M99" s="5" t="s">
        <v>1944</v>
      </c>
      <c r="N99" s="5" t="b">
        <v>1</v>
      </c>
    </row>
    <row r="100">
      <c r="A100" s="5" t="s">
        <v>2457</v>
      </c>
      <c r="B100" s="5" t="s">
        <v>2458</v>
      </c>
      <c r="C100" s="5" t="s">
        <v>2425</v>
      </c>
      <c r="D100" s="5" t="s">
        <v>2459</v>
      </c>
      <c r="E100" s="5" t="s">
        <v>2300</v>
      </c>
      <c r="F100" s="5" t="s">
        <v>2044</v>
      </c>
      <c r="G100" s="5" t="s">
        <v>1376</v>
      </c>
      <c r="H100" s="5" t="s">
        <v>2460</v>
      </c>
      <c r="I100" s="5" t="s">
        <v>2303</v>
      </c>
      <c r="J100" s="5" t="s">
        <v>1465</v>
      </c>
      <c r="K100" s="5">
        <v>2.0</v>
      </c>
      <c r="L100" s="5" t="b">
        <v>1</v>
      </c>
      <c r="M100" s="5" t="s">
        <v>1944</v>
      </c>
      <c r="N100" s="5" t="b">
        <v>1</v>
      </c>
    </row>
    <row r="101">
      <c r="A101" s="5" t="s">
        <v>2461</v>
      </c>
      <c r="B101" s="5" t="s">
        <v>2462</v>
      </c>
      <c r="C101" s="5" t="s">
        <v>2425</v>
      </c>
      <c r="D101" s="5" t="s">
        <v>2463</v>
      </c>
      <c r="E101" s="5" t="s">
        <v>2300</v>
      </c>
      <c r="F101" s="5" t="s">
        <v>2464</v>
      </c>
      <c r="G101" s="5" t="s">
        <v>1376</v>
      </c>
      <c r="H101" s="5" t="s">
        <v>2465</v>
      </c>
      <c r="I101" s="5" t="s">
        <v>2303</v>
      </c>
      <c r="J101" s="5" t="s">
        <v>1465</v>
      </c>
      <c r="K101" s="5">
        <v>2.0</v>
      </c>
      <c r="L101" s="5" t="b">
        <v>1</v>
      </c>
      <c r="M101" s="5" t="s">
        <v>1944</v>
      </c>
      <c r="N101" s="5" t="b">
        <v>1</v>
      </c>
    </row>
    <row r="102">
      <c r="A102" s="5" t="s">
        <v>2466</v>
      </c>
      <c r="B102" s="5" t="s">
        <v>2467</v>
      </c>
      <c r="C102" s="5" t="s">
        <v>2468</v>
      </c>
      <c r="D102" s="5" t="s">
        <v>2469</v>
      </c>
      <c r="E102" s="5" t="s">
        <v>2300</v>
      </c>
      <c r="F102" s="5" t="s">
        <v>2470</v>
      </c>
      <c r="G102" s="5" t="s">
        <v>1376</v>
      </c>
      <c r="H102" s="5" t="s">
        <v>2471</v>
      </c>
      <c r="I102" s="5" t="s">
        <v>2303</v>
      </c>
      <c r="J102" s="5" t="s">
        <v>1465</v>
      </c>
      <c r="K102" s="5">
        <v>2.0</v>
      </c>
      <c r="L102" s="5" t="b">
        <v>1</v>
      </c>
      <c r="M102" s="5" t="s">
        <v>1944</v>
      </c>
      <c r="N102" s="5" t="b">
        <v>1</v>
      </c>
    </row>
    <row r="103">
      <c r="A103" s="5" t="s">
        <v>2472</v>
      </c>
      <c r="B103" s="5" t="s">
        <v>2473</v>
      </c>
      <c r="C103" s="5" t="s">
        <v>2468</v>
      </c>
      <c r="D103" s="5" t="s">
        <v>2474</v>
      </c>
      <c r="E103" s="5" t="s">
        <v>2300</v>
      </c>
      <c r="F103" s="5" t="s">
        <v>1701</v>
      </c>
      <c r="G103" s="5" t="s">
        <v>1376</v>
      </c>
      <c r="H103" s="5" t="s">
        <v>2475</v>
      </c>
      <c r="I103" s="5" t="s">
        <v>2303</v>
      </c>
      <c r="J103" s="5" t="s">
        <v>1465</v>
      </c>
      <c r="K103" s="5">
        <v>2.0</v>
      </c>
      <c r="L103" s="5" t="b">
        <v>1</v>
      </c>
      <c r="M103" s="5" t="s">
        <v>1944</v>
      </c>
      <c r="N103" s="5" t="b">
        <v>1</v>
      </c>
    </row>
    <row r="104">
      <c r="A104" s="5" t="s">
        <v>2476</v>
      </c>
      <c r="B104" s="5" t="s">
        <v>2477</v>
      </c>
      <c r="C104" s="5" t="s">
        <v>2468</v>
      </c>
      <c r="D104" s="5" t="s">
        <v>2478</v>
      </c>
      <c r="E104" s="5" t="s">
        <v>2300</v>
      </c>
      <c r="F104" s="5">
        <v>8.6</v>
      </c>
      <c r="G104" s="5" t="s">
        <v>1376</v>
      </c>
      <c r="H104" s="5" t="s">
        <v>2479</v>
      </c>
      <c r="I104" s="5" t="s">
        <v>2303</v>
      </c>
      <c r="J104" s="5" t="s">
        <v>1465</v>
      </c>
      <c r="K104" s="5">
        <v>2.0</v>
      </c>
      <c r="L104" s="5" t="b">
        <v>1</v>
      </c>
      <c r="M104" s="5" t="s">
        <v>1944</v>
      </c>
      <c r="N104" s="5" t="b">
        <v>1</v>
      </c>
    </row>
    <row r="105">
      <c r="A105" s="5" t="s">
        <v>2480</v>
      </c>
      <c r="B105" s="5" t="s">
        <v>2481</v>
      </c>
      <c r="C105" s="5" t="s">
        <v>2468</v>
      </c>
      <c r="D105" s="5" t="s">
        <v>2482</v>
      </c>
      <c r="E105" s="5" t="s">
        <v>2300</v>
      </c>
      <c r="F105" s="5">
        <v>8.6</v>
      </c>
      <c r="G105" s="5" t="s">
        <v>1376</v>
      </c>
      <c r="H105" s="5" t="s">
        <v>2483</v>
      </c>
      <c r="I105" s="5" t="s">
        <v>2303</v>
      </c>
      <c r="J105" s="5" t="s">
        <v>1465</v>
      </c>
      <c r="K105" s="5">
        <v>2.0</v>
      </c>
      <c r="L105" s="5" t="b">
        <v>1</v>
      </c>
      <c r="M105" s="5" t="s">
        <v>1944</v>
      </c>
      <c r="N105" s="5" t="b">
        <v>1</v>
      </c>
    </row>
    <row r="106">
      <c r="A106" s="5" t="s">
        <v>2484</v>
      </c>
      <c r="B106" s="5" t="s">
        <v>2485</v>
      </c>
      <c r="C106" s="5" t="s">
        <v>2468</v>
      </c>
      <c r="D106" s="5" t="s">
        <v>2486</v>
      </c>
      <c r="E106" s="5" t="s">
        <v>2300</v>
      </c>
      <c r="F106" s="5" t="s">
        <v>1701</v>
      </c>
      <c r="G106" s="5" t="s">
        <v>1376</v>
      </c>
      <c r="H106" s="5" t="s">
        <v>2487</v>
      </c>
      <c r="I106" s="5" t="s">
        <v>2303</v>
      </c>
      <c r="J106" s="5" t="s">
        <v>1465</v>
      </c>
      <c r="K106" s="5">
        <v>2.0</v>
      </c>
      <c r="L106" s="5" t="b">
        <v>1</v>
      </c>
      <c r="M106" s="5" t="s">
        <v>1944</v>
      </c>
      <c r="N106" s="5" t="b">
        <v>1</v>
      </c>
    </row>
    <row r="107">
      <c r="A107" s="5" t="s">
        <v>2488</v>
      </c>
      <c r="B107" s="5" t="s">
        <v>2489</v>
      </c>
      <c r="C107" s="5" t="s">
        <v>2468</v>
      </c>
      <c r="D107" s="5" t="s">
        <v>2490</v>
      </c>
      <c r="E107" s="5" t="s">
        <v>2300</v>
      </c>
      <c r="F107" s="5" t="s">
        <v>2491</v>
      </c>
      <c r="G107" s="5" t="s">
        <v>1376</v>
      </c>
      <c r="H107" s="5" t="s">
        <v>2492</v>
      </c>
      <c r="I107" s="5" t="s">
        <v>2303</v>
      </c>
      <c r="J107" s="5" t="s">
        <v>1465</v>
      </c>
      <c r="K107" s="5">
        <v>2.0</v>
      </c>
      <c r="L107" s="5" t="b">
        <v>1</v>
      </c>
      <c r="M107" s="5" t="s">
        <v>1944</v>
      </c>
      <c r="N107" s="5" t="b">
        <v>1</v>
      </c>
    </row>
    <row r="108">
      <c r="A108" s="5" t="s">
        <v>2493</v>
      </c>
      <c r="B108" s="5" t="s">
        <v>2494</v>
      </c>
      <c r="C108" s="5" t="s">
        <v>2468</v>
      </c>
      <c r="D108" s="5" t="s">
        <v>2495</v>
      </c>
      <c r="E108" s="5" t="s">
        <v>2300</v>
      </c>
      <c r="F108" s="5">
        <v>4.4</v>
      </c>
      <c r="G108" s="5" t="s">
        <v>1376</v>
      </c>
      <c r="H108" s="5" t="s">
        <v>2496</v>
      </c>
      <c r="I108" s="5" t="s">
        <v>2303</v>
      </c>
      <c r="J108" s="5" t="s">
        <v>1465</v>
      </c>
      <c r="K108" s="5">
        <v>2.0</v>
      </c>
      <c r="L108" s="5" t="b">
        <v>1</v>
      </c>
      <c r="M108" s="5" t="s">
        <v>1944</v>
      </c>
      <c r="N108" s="5" t="b">
        <v>1</v>
      </c>
    </row>
    <row r="109">
      <c r="A109" s="5" t="s">
        <v>2497</v>
      </c>
      <c r="B109" s="5" t="s">
        <v>2498</v>
      </c>
      <c r="C109" s="5" t="s">
        <v>2468</v>
      </c>
      <c r="D109" s="5" t="s">
        <v>2499</v>
      </c>
      <c r="E109" s="5" t="s">
        <v>2300</v>
      </c>
      <c r="F109" s="5" t="s">
        <v>2500</v>
      </c>
      <c r="G109" s="5" t="s">
        <v>1376</v>
      </c>
      <c r="H109" s="5" t="s">
        <v>2501</v>
      </c>
      <c r="I109" s="5" t="s">
        <v>2303</v>
      </c>
      <c r="J109" s="5" t="s">
        <v>1465</v>
      </c>
      <c r="K109" s="5">
        <v>2.0</v>
      </c>
      <c r="L109" s="5" t="b">
        <v>1</v>
      </c>
      <c r="M109" s="5" t="s">
        <v>1944</v>
      </c>
      <c r="N109" s="5" t="b">
        <v>1</v>
      </c>
    </row>
    <row r="110">
      <c r="A110" s="5" t="s">
        <v>2502</v>
      </c>
      <c r="B110" s="5" t="s">
        <v>2503</v>
      </c>
      <c r="C110" s="5" t="s">
        <v>2468</v>
      </c>
      <c r="D110" s="5" t="s">
        <v>2504</v>
      </c>
      <c r="E110" s="5" t="s">
        <v>2300</v>
      </c>
      <c r="F110" s="5" t="s">
        <v>2505</v>
      </c>
      <c r="G110" s="5" t="s">
        <v>1376</v>
      </c>
      <c r="H110" s="5" t="s">
        <v>2506</v>
      </c>
      <c r="I110" s="5" t="s">
        <v>2303</v>
      </c>
      <c r="J110" s="5" t="s">
        <v>1465</v>
      </c>
      <c r="K110" s="5">
        <v>2.0</v>
      </c>
      <c r="L110" s="5" t="b">
        <v>1</v>
      </c>
      <c r="M110" s="5" t="s">
        <v>1944</v>
      </c>
      <c r="N110" s="5" t="b">
        <v>1</v>
      </c>
    </row>
    <row r="111">
      <c r="A111" s="5" t="s">
        <v>2507</v>
      </c>
      <c r="B111" s="5" t="s">
        <v>2508</v>
      </c>
      <c r="C111" s="5" t="s">
        <v>2468</v>
      </c>
      <c r="D111" s="5" t="s">
        <v>2509</v>
      </c>
      <c r="E111" s="5" t="s">
        <v>2300</v>
      </c>
      <c r="F111" s="5" t="s">
        <v>2510</v>
      </c>
      <c r="G111" s="5" t="s">
        <v>1376</v>
      </c>
      <c r="H111" s="5" t="s">
        <v>2511</v>
      </c>
      <c r="I111" s="5" t="s">
        <v>2303</v>
      </c>
      <c r="J111" s="5" t="s">
        <v>1465</v>
      </c>
      <c r="K111" s="5">
        <v>2.0</v>
      </c>
      <c r="L111" s="5" t="b">
        <v>1</v>
      </c>
      <c r="M111" s="5" t="s">
        <v>1944</v>
      </c>
      <c r="N111" s="5" t="b">
        <v>1</v>
      </c>
    </row>
    <row r="112">
      <c r="A112" s="5" t="s">
        <v>2512</v>
      </c>
      <c r="B112" s="5" t="s">
        <v>2513</v>
      </c>
      <c r="C112" s="5" t="s">
        <v>2514</v>
      </c>
      <c r="D112" s="5" t="s">
        <v>2515</v>
      </c>
      <c r="E112" s="5" t="s">
        <v>2300</v>
      </c>
      <c r="F112" s="5" t="s">
        <v>2174</v>
      </c>
      <c r="G112" s="5" t="s">
        <v>1376</v>
      </c>
      <c r="H112" s="5" t="s">
        <v>2516</v>
      </c>
      <c r="I112" s="5" t="s">
        <v>2303</v>
      </c>
      <c r="J112" s="5" t="s">
        <v>1465</v>
      </c>
      <c r="K112" s="5">
        <v>2.0</v>
      </c>
      <c r="L112" s="5" t="b">
        <v>1</v>
      </c>
      <c r="M112" s="5" t="s">
        <v>1944</v>
      </c>
      <c r="N112" s="5" t="b">
        <v>1</v>
      </c>
    </row>
    <row r="113">
      <c r="A113" s="5" t="s">
        <v>2517</v>
      </c>
      <c r="B113" s="5" t="s">
        <v>2518</v>
      </c>
      <c r="C113" s="5" t="s">
        <v>2514</v>
      </c>
      <c r="D113" s="5" t="s">
        <v>2519</v>
      </c>
      <c r="E113" s="5" t="s">
        <v>2300</v>
      </c>
      <c r="F113" s="5" t="s">
        <v>1659</v>
      </c>
      <c r="G113" s="5" t="s">
        <v>1376</v>
      </c>
      <c r="H113" s="5" t="s">
        <v>2520</v>
      </c>
      <c r="I113" s="5" t="s">
        <v>2303</v>
      </c>
      <c r="J113" s="5" t="s">
        <v>1465</v>
      </c>
      <c r="K113" s="5">
        <v>2.0</v>
      </c>
      <c r="L113" s="5" t="b">
        <v>1</v>
      </c>
      <c r="M113" s="5" t="s">
        <v>1944</v>
      </c>
      <c r="N113" s="5" t="b">
        <v>1</v>
      </c>
    </row>
    <row r="114">
      <c r="A114" s="5" t="s">
        <v>2521</v>
      </c>
      <c r="B114" s="5" t="s">
        <v>2522</v>
      </c>
      <c r="C114" s="5" t="s">
        <v>2514</v>
      </c>
      <c r="D114" s="5" t="s">
        <v>2523</v>
      </c>
      <c r="E114" s="5" t="s">
        <v>2300</v>
      </c>
      <c r="F114" s="5" t="s">
        <v>1760</v>
      </c>
      <c r="G114" s="5" t="s">
        <v>1376</v>
      </c>
      <c r="H114" s="5" t="s">
        <v>2524</v>
      </c>
      <c r="I114" s="5" t="s">
        <v>2303</v>
      </c>
      <c r="J114" s="5" t="s">
        <v>1465</v>
      </c>
      <c r="K114" s="5">
        <v>2.0</v>
      </c>
      <c r="L114" s="5" t="b">
        <v>1</v>
      </c>
      <c r="M114" s="5" t="s">
        <v>1944</v>
      </c>
      <c r="N114" s="5" t="b">
        <v>1</v>
      </c>
    </row>
    <row r="115">
      <c r="A115" s="5" t="s">
        <v>2525</v>
      </c>
      <c r="B115" s="5" t="s">
        <v>2526</v>
      </c>
      <c r="C115" s="5" t="s">
        <v>2514</v>
      </c>
      <c r="D115" s="5" t="s">
        <v>2527</v>
      </c>
      <c r="E115" s="5" t="s">
        <v>2300</v>
      </c>
      <c r="F115" s="5" t="s">
        <v>2528</v>
      </c>
      <c r="G115" s="5" t="s">
        <v>1376</v>
      </c>
      <c r="H115" s="5" t="s">
        <v>2529</v>
      </c>
      <c r="I115" s="5" t="s">
        <v>2303</v>
      </c>
      <c r="J115" s="5" t="s">
        <v>1465</v>
      </c>
      <c r="K115" s="5">
        <v>2.0</v>
      </c>
      <c r="L115" s="5" t="b">
        <v>1</v>
      </c>
      <c r="M115" s="5" t="s">
        <v>1944</v>
      </c>
      <c r="N115" s="5" t="b">
        <v>1</v>
      </c>
    </row>
    <row r="116">
      <c r="A116" s="5" t="s">
        <v>2530</v>
      </c>
      <c r="B116" s="5" t="s">
        <v>2531</v>
      </c>
      <c r="C116" s="5" t="s">
        <v>2514</v>
      </c>
      <c r="D116" s="5" t="s">
        <v>2532</v>
      </c>
      <c r="E116" s="5" t="s">
        <v>2300</v>
      </c>
      <c r="F116" s="5" t="s">
        <v>2470</v>
      </c>
      <c r="G116" s="5" t="s">
        <v>1376</v>
      </c>
      <c r="H116" s="5" t="s">
        <v>2533</v>
      </c>
      <c r="I116" s="5" t="s">
        <v>2303</v>
      </c>
      <c r="J116" s="5" t="s">
        <v>1465</v>
      </c>
      <c r="K116" s="5">
        <v>2.0</v>
      </c>
      <c r="L116" s="5" t="b">
        <v>1</v>
      </c>
      <c r="M116" s="5" t="s">
        <v>1944</v>
      </c>
      <c r="N116" s="5" t="b">
        <v>1</v>
      </c>
    </row>
    <row r="117">
      <c r="A117" s="5" t="s">
        <v>2534</v>
      </c>
      <c r="B117" s="5" t="s">
        <v>2535</v>
      </c>
      <c r="C117" s="5" t="s">
        <v>2514</v>
      </c>
      <c r="D117" s="5" t="s">
        <v>2536</v>
      </c>
      <c r="E117" s="5" t="s">
        <v>2300</v>
      </c>
      <c r="F117" s="5" t="s">
        <v>2537</v>
      </c>
      <c r="G117" s="5" t="s">
        <v>1376</v>
      </c>
      <c r="H117" s="5" t="s">
        <v>2538</v>
      </c>
      <c r="I117" s="5" t="s">
        <v>2303</v>
      </c>
      <c r="J117" s="5" t="s">
        <v>1465</v>
      </c>
      <c r="K117" s="5">
        <v>2.0</v>
      </c>
      <c r="L117" s="5" t="b">
        <v>1</v>
      </c>
      <c r="M117" s="5" t="s">
        <v>1944</v>
      </c>
      <c r="N117" s="5" t="b">
        <v>1</v>
      </c>
    </row>
    <row r="118">
      <c r="A118" s="5" t="s">
        <v>2539</v>
      </c>
      <c r="B118" s="5" t="s">
        <v>2540</v>
      </c>
      <c r="C118" s="5" t="s">
        <v>2514</v>
      </c>
      <c r="D118" s="5" t="s">
        <v>2541</v>
      </c>
      <c r="E118" s="5" t="s">
        <v>2300</v>
      </c>
      <c r="F118" s="5" t="s">
        <v>2528</v>
      </c>
      <c r="G118" s="5" t="s">
        <v>1376</v>
      </c>
      <c r="H118" s="5" t="s">
        <v>2542</v>
      </c>
      <c r="I118" s="5" t="s">
        <v>2303</v>
      </c>
      <c r="J118" s="5" t="s">
        <v>1465</v>
      </c>
      <c r="K118" s="5">
        <v>2.0</v>
      </c>
      <c r="L118" s="5" t="b">
        <v>1</v>
      </c>
      <c r="M118" s="5" t="s">
        <v>1944</v>
      </c>
      <c r="N118" s="5" t="b">
        <v>1</v>
      </c>
    </row>
    <row r="119">
      <c r="A119" s="5" t="s">
        <v>2543</v>
      </c>
      <c r="B119" s="5" t="s">
        <v>2544</v>
      </c>
      <c r="C119" s="5" t="s">
        <v>2514</v>
      </c>
      <c r="D119" s="5" t="s">
        <v>2545</v>
      </c>
      <c r="E119" s="5" t="s">
        <v>2300</v>
      </c>
      <c r="F119" s="5" t="s">
        <v>1732</v>
      </c>
      <c r="G119" s="5" t="s">
        <v>1376</v>
      </c>
      <c r="H119" s="5" t="s">
        <v>2546</v>
      </c>
      <c r="I119" s="5" t="s">
        <v>2303</v>
      </c>
      <c r="J119" s="5" t="s">
        <v>1465</v>
      </c>
      <c r="K119" s="5">
        <v>2.0</v>
      </c>
      <c r="L119" s="5" t="b">
        <v>1</v>
      </c>
      <c r="M119" s="5" t="s">
        <v>1944</v>
      </c>
      <c r="N119" s="5" t="b">
        <v>1</v>
      </c>
    </row>
    <row r="120">
      <c r="A120" s="5" t="s">
        <v>2547</v>
      </c>
      <c r="B120" s="5" t="s">
        <v>2548</v>
      </c>
      <c r="C120" s="5" t="s">
        <v>2514</v>
      </c>
      <c r="D120" s="5" t="s">
        <v>2549</v>
      </c>
      <c r="E120" s="5" t="s">
        <v>2300</v>
      </c>
      <c r="F120" s="5" t="s">
        <v>1760</v>
      </c>
      <c r="G120" s="5" t="s">
        <v>1376</v>
      </c>
      <c r="H120" s="5" t="s">
        <v>2550</v>
      </c>
      <c r="I120" s="5" t="s">
        <v>2303</v>
      </c>
      <c r="J120" s="5" t="s">
        <v>1465</v>
      </c>
      <c r="K120" s="5">
        <v>2.0</v>
      </c>
      <c r="L120" s="5" t="b">
        <v>1</v>
      </c>
      <c r="M120" s="5" t="s">
        <v>1944</v>
      </c>
      <c r="N120" s="5" t="b">
        <v>1</v>
      </c>
    </row>
    <row r="121">
      <c r="A121" s="5" t="s">
        <v>2551</v>
      </c>
      <c r="B121" s="5" t="s">
        <v>2552</v>
      </c>
      <c r="C121" s="5" t="s">
        <v>2514</v>
      </c>
      <c r="D121" s="5" t="s">
        <v>2553</v>
      </c>
      <c r="E121" s="5" t="s">
        <v>2300</v>
      </c>
      <c r="F121" s="5" t="s">
        <v>2554</v>
      </c>
      <c r="G121" s="5" t="s">
        <v>1376</v>
      </c>
      <c r="H121" s="5" t="s">
        <v>2555</v>
      </c>
      <c r="I121" s="5" t="s">
        <v>2303</v>
      </c>
      <c r="J121" s="5" t="s">
        <v>1465</v>
      </c>
      <c r="K121" s="5">
        <v>2.0</v>
      </c>
      <c r="L121" s="5" t="b">
        <v>1</v>
      </c>
      <c r="M121" s="5" t="s">
        <v>1944</v>
      </c>
      <c r="N121" s="5" t="b">
        <v>1</v>
      </c>
    </row>
    <row r="122">
      <c r="A122" s="5" t="s">
        <v>2556</v>
      </c>
      <c r="B122" s="5" t="s">
        <v>2557</v>
      </c>
      <c r="C122" s="5" t="s">
        <v>2558</v>
      </c>
      <c r="D122" s="5" t="s">
        <v>2559</v>
      </c>
      <c r="E122" s="5" t="s">
        <v>2300</v>
      </c>
      <c r="F122" s="5" t="s">
        <v>1760</v>
      </c>
      <c r="G122" s="5" t="s">
        <v>1371</v>
      </c>
      <c r="H122" s="5" t="s">
        <v>2560</v>
      </c>
      <c r="I122" s="5" t="s">
        <v>2303</v>
      </c>
      <c r="J122" s="5" t="s">
        <v>1465</v>
      </c>
      <c r="K122" s="5">
        <v>2.0</v>
      </c>
      <c r="L122" s="5" t="b">
        <v>1</v>
      </c>
      <c r="M122" s="5" t="s">
        <v>1944</v>
      </c>
      <c r="N122" s="5" t="b">
        <v>1</v>
      </c>
    </row>
    <row r="123">
      <c r="A123" s="5" t="s">
        <v>2561</v>
      </c>
      <c r="B123" s="5" t="s">
        <v>2562</v>
      </c>
      <c r="C123" s="5" t="s">
        <v>2558</v>
      </c>
      <c r="D123" s="5" t="s">
        <v>2563</v>
      </c>
      <c r="E123" s="5" t="s">
        <v>2300</v>
      </c>
      <c r="F123" s="5" t="s">
        <v>2564</v>
      </c>
      <c r="G123" s="5" t="s">
        <v>1371</v>
      </c>
      <c r="H123" s="5" t="s">
        <v>2565</v>
      </c>
      <c r="I123" s="5" t="s">
        <v>2303</v>
      </c>
      <c r="J123" s="5" t="s">
        <v>1465</v>
      </c>
      <c r="K123" s="5">
        <v>2.0</v>
      </c>
      <c r="L123" s="5" t="b">
        <v>1</v>
      </c>
      <c r="M123" s="5" t="s">
        <v>1944</v>
      </c>
      <c r="N123" s="5" t="b">
        <v>1</v>
      </c>
    </row>
    <row r="124">
      <c r="A124" s="5" t="s">
        <v>2566</v>
      </c>
      <c r="B124" s="5" t="s">
        <v>2567</v>
      </c>
      <c r="C124" s="5" t="s">
        <v>2558</v>
      </c>
      <c r="D124" s="5" t="s">
        <v>2568</v>
      </c>
      <c r="E124" s="5" t="s">
        <v>2300</v>
      </c>
      <c r="F124" s="5">
        <v>8.2</v>
      </c>
      <c r="G124" s="5" t="s">
        <v>1371</v>
      </c>
      <c r="H124" s="5" t="s">
        <v>2465</v>
      </c>
      <c r="I124" s="5" t="s">
        <v>2303</v>
      </c>
      <c r="J124" s="5" t="s">
        <v>1465</v>
      </c>
      <c r="K124" s="5">
        <v>2.0</v>
      </c>
      <c r="L124" s="5" t="b">
        <v>1</v>
      </c>
      <c r="M124" s="5" t="s">
        <v>1944</v>
      </c>
      <c r="N124" s="5" t="b">
        <v>1</v>
      </c>
    </row>
    <row r="125">
      <c r="A125" s="5" t="s">
        <v>2569</v>
      </c>
      <c r="B125" s="5" t="s">
        <v>2570</v>
      </c>
      <c r="C125" s="5" t="s">
        <v>2558</v>
      </c>
      <c r="D125" s="5" t="s">
        <v>2571</v>
      </c>
      <c r="E125" s="5" t="s">
        <v>2300</v>
      </c>
      <c r="F125" s="5" t="s">
        <v>2381</v>
      </c>
      <c r="G125" s="5" t="s">
        <v>1371</v>
      </c>
      <c r="H125" s="5" t="s">
        <v>2572</v>
      </c>
      <c r="I125" s="5" t="s">
        <v>2303</v>
      </c>
      <c r="J125" s="5" t="s">
        <v>1465</v>
      </c>
      <c r="K125" s="5">
        <v>2.0</v>
      </c>
      <c r="L125" s="5" t="b">
        <v>1</v>
      </c>
      <c r="M125" s="5" t="s">
        <v>1944</v>
      </c>
      <c r="N125" s="5" t="b">
        <v>1</v>
      </c>
    </row>
    <row r="126">
      <c r="A126" s="5" t="s">
        <v>2573</v>
      </c>
      <c r="B126" s="5" t="s">
        <v>2574</v>
      </c>
      <c r="C126" s="5" t="s">
        <v>2558</v>
      </c>
      <c r="D126" s="5" t="s">
        <v>2575</v>
      </c>
      <c r="E126" s="5" t="s">
        <v>2300</v>
      </c>
      <c r="F126" s="5" t="s">
        <v>1760</v>
      </c>
      <c r="G126" s="5" t="s">
        <v>1371</v>
      </c>
      <c r="H126" s="5" t="s">
        <v>2576</v>
      </c>
      <c r="I126" s="5" t="s">
        <v>2303</v>
      </c>
      <c r="J126" s="5" t="s">
        <v>1465</v>
      </c>
      <c r="K126" s="5">
        <v>2.0</v>
      </c>
      <c r="L126" s="5" t="b">
        <v>1</v>
      </c>
      <c r="M126" s="5" t="s">
        <v>1944</v>
      </c>
      <c r="N126" s="5" t="b">
        <v>1</v>
      </c>
    </row>
    <row r="127">
      <c r="A127" s="5" t="s">
        <v>2577</v>
      </c>
      <c r="B127" s="5" t="s">
        <v>2578</v>
      </c>
      <c r="C127" s="5" t="s">
        <v>2558</v>
      </c>
      <c r="D127" s="5" t="s">
        <v>2579</v>
      </c>
      <c r="E127" s="5" t="s">
        <v>2300</v>
      </c>
      <c r="F127" s="5" t="s">
        <v>2580</v>
      </c>
      <c r="G127" s="5" t="s">
        <v>1371</v>
      </c>
      <c r="H127" s="5" t="s">
        <v>2465</v>
      </c>
      <c r="I127" s="5" t="s">
        <v>2303</v>
      </c>
      <c r="J127" s="5" t="s">
        <v>1465</v>
      </c>
      <c r="K127" s="5">
        <v>2.0</v>
      </c>
      <c r="L127" s="5" t="b">
        <v>1</v>
      </c>
      <c r="M127" s="5" t="s">
        <v>1944</v>
      </c>
      <c r="N127" s="5" t="b">
        <v>1</v>
      </c>
    </row>
    <row r="128">
      <c r="A128" s="5" t="s">
        <v>2581</v>
      </c>
      <c r="B128" s="5" t="s">
        <v>2582</v>
      </c>
      <c r="C128" s="5" t="s">
        <v>2558</v>
      </c>
      <c r="D128" s="5" t="s">
        <v>2583</v>
      </c>
      <c r="E128" s="5" t="s">
        <v>2300</v>
      </c>
      <c r="F128" s="5" t="s">
        <v>2584</v>
      </c>
      <c r="G128" s="5" t="s">
        <v>1371</v>
      </c>
      <c r="H128" s="5" t="s">
        <v>2585</v>
      </c>
      <c r="I128" s="5" t="s">
        <v>2303</v>
      </c>
      <c r="J128" s="5" t="s">
        <v>1465</v>
      </c>
      <c r="K128" s="5">
        <v>2.0</v>
      </c>
      <c r="L128" s="5" t="b">
        <v>1</v>
      </c>
      <c r="M128" s="5" t="s">
        <v>1944</v>
      </c>
      <c r="N128" s="5" t="b">
        <v>1</v>
      </c>
    </row>
    <row r="129">
      <c r="A129" s="5" t="s">
        <v>2586</v>
      </c>
      <c r="B129" s="5" t="s">
        <v>2587</v>
      </c>
      <c r="C129" s="5" t="s">
        <v>2558</v>
      </c>
      <c r="D129" s="5" t="s">
        <v>2588</v>
      </c>
      <c r="E129" s="5" t="s">
        <v>2300</v>
      </c>
      <c r="F129" s="5" t="s">
        <v>2589</v>
      </c>
      <c r="G129" s="5" t="s">
        <v>1371</v>
      </c>
      <c r="H129" s="5" t="s">
        <v>2590</v>
      </c>
      <c r="I129" s="5" t="s">
        <v>2303</v>
      </c>
      <c r="J129" s="5" t="s">
        <v>1465</v>
      </c>
      <c r="K129" s="5">
        <v>2.0</v>
      </c>
      <c r="L129" s="5" t="b">
        <v>1</v>
      </c>
      <c r="M129" s="5" t="s">
        <v>1944</v>
      </c>
      <c r="N129" s="5" t="b">
        <v>1</v>
      </c>
    </row>
    <row r="130">
      <c r="A130" s="5" t="s">
        <v>2591</v>
      </c>
      <c r="B130" s="5" t="s">
        <v>2592</v>
      </c>
      <c r="C130" s="5" t="s">
        <v>2558</v>
      </c>
      <c r="D130" s="5" t="s">
        <v>2593</v>
      </c>
      <c r="E130" s="5" t="s">
        <v>2300</v>
      </c>
      <c r="F130" s="5" t="s">
        <v>2528</v>
      </c>
      <c r="G130" s="5" t="s">
        <v>1371</v>
      </c>
      <c r="H130" s="5" t="s">
        <v>2594</v>
      </c>
      <c r="I130" s="5" t="s">
        <v>2303</v>
      </c>
      <c r="J130" s="5" t="s">
        <v>1465</v>
      </c>
      <c r="K130" s="5">
        <v>2.0</v>
      </c>
      <c r="L130" s="5" t="b">
        <v>1</v>
      </c>
      <c r="M130" s="5" t="s">
        <v>1944</v>
      </c>
      <c r="N130" s="5" t="b">
        <v>1</v>
      </c>
    </row>
    <row r="131">
      <c r="A131" s="5" t="s">
        <v>2595</v>
      </c>
      <c r="B131" s="5" t="s">
        <v>2596</v>
      </c>
      <c r="C131" s="5" t="s">
        <v>2558</v>
      </c>
      <c r="D131" s="5" t="s">
        <v>2597</v>
      </c>
      <c r="E131" s="5" t="s">
        <v>2300</v>
      </c>
      <c r="F131" s="5" t="s">
        <v>1770</v>
      </c>
      <c r="G131" s="5" t="s">
        <v>1371</v>
      </c>
      <c r="H131" s="5" t="s">
        <v>2598</v>
      </c>
      <c r="I131" s="5" t="s">
        <v>2303</v>
      </c>
      <c r="J131" s="5" t="s">
        <v>1465</v>
      </c>
      <c r="K131" s="5">
        <v>2.0</v>
      </c>
      <c r="L131" s="5" t="b">
        <v>1</v>
      </c>
      <c r="M131" s="5" t="s">
        <v>1944</v>
      </c>
      <c r="N131" s="5" t="b">
        <v>1</v>
      </c>
    </row>
    <row r="132">
      <c r="A132" s="5" t="s">
        <v>2599</v>
      </c>
      <c r="B132" s="5" t="s">
        <v>2600</v>
      </c>
      <c r="C132" s="5" t="s">
        <v>2558</v>
      </c>
      <c r="D132" s="5" t="s">
        <v>2601</v>
      </c>
      <c r="E132" s="5" t="s">
        <v>2300</v>
      </c>
      <c r="F132" s="5" t="s">
        <v>2044</v>
      </c>
      <c r="G132" s="5" t="s">
        <v>1371</v>
      </c>
      <c r="H132" s="5" t="s">
        <v>2460</v>
      </c>
      <c r="I132" s="5" t="s">
        <v>2303</v>
      </c>
      <c r="J132" s="5" t="s">
        <v>1465</v>
      </c>
      <c r="K132" s="5">
        <v>2.0</v>
      </c>
      <c r="L132" s="5" t="b">
        <v>1</v>
      </c>
      <c r="M132" s="5" t="s">
        <v>1944</v>
      </c>
      <c r="N132" s="5" t="b">
        <v>1</v>
      </c>
    </row>
    <row r="133">
      <c r="A133" s="5" t="s">
        <v>2602</v>
      </c>
      <c r="B133" s="5" t="s">
        <v>2603</v>
      </c>
      <c r="C133" s="5" t="s">
        <v>2558</v>
      </c>
      <c r="D133" s="5" t="s">
        <v>2604</v>
      </c>
      <c r="E133" s="5" t="s">
        <v>2300</v>
      </c>
      <c r="F133" s="5" t="s">
        <v>1765</v>
      </c>
      <c r="G133" s="5" t="s">
        <v>1371</v>
      </c>
      <c r="H133" s="5" t="s">
        <v>2605</v>
      </c>
      <c r="I133" s="5" t="s">
        <v>2303</v>
      </c>
      <c r="J133" s="5" t="s">
        <v>1465</v>
      </c>
      <c r="K133" s="5">
        <v>2.0</v>
      </c>
      <c r="L133" s="5" t="b">
        <v>1</v>
      </c>
      <c r="M133" s="5" t="s">
        <v>1944</v>
      </c>
      <c r="N133" s="5" t="b">
        <v>1</v>
      </c>
    </row>
    <row r="134">
      <c r="A134" s="5" t="s">
        <v>2606</v>
      </c>
      <c r="B134" s="5" t="s">
        <v>2607</v>
      </c>
      <c r="C134" s="5" t="s">
        <v>2608</v>
      </c>
      <c r="D134" s="5" t="s">
        <v>2609</v>
      </c>
      <c r="E134" s="5" t="s">
        <v>2300</v>
      </c>
      <c r="F134" s="5" t="s">
        <v>2610</v>
      </c>
      <c r="G134" s="5" t="s">
        <v>1371</v>
      </c>
      <c r="H134" s="5" t="s">
        <v>2611</v>
      </c>
      <c r="I134" s="5" t="s">
        <v>2303</v>
      </c>
      <c r="J134" s="5" t="s">
        <v>1465</v>
      </c>
      <c r="K134" s="5">
        <v>2.0</v>
      </c>
      <c r="L134" s="5" t="b">
        <v>1</v>
      </c>
      <c r="M134" s="5" t="s">
        <v>1944</v>
      </c>
      <c r="N134" s="5" t="b">
        <v>1</v>
      </c>
    </row>
    <row r="135">
      <c r="A135" s="5" t="s">
        <v>2612</v>
      </c>
      <c r="B135" s="5" t="s">
        <v>2613</v>
      </c>
      <c r="C135" s="5" t="s">
        <v>2608</v>
      </c>
      <c r="D135" s="5" t="s">
        <v>2614</v>
      </c>
      <c r="E135" s="5" t="s">
        <v>2300</v>
      </c>
      <c r="F135" s="5" t="s">
        <v>2615</v>
      </c>
      <c r="G135" s="5" t="s">
        <v>1371</v>
      </c>
      <c r="H135" s="5" t="s">
        <v>2616</v>
      </c>
      <c r="I135" s="5" t="s">
        <v>2303</v>
      </c>
      <c r="J135" s="5" t="s">
        <v>1465</v>
      </c>
      <c r="K135" s="5">
        <v>2.0</v>
      </c>
      <c r="L135" s="5" t="b">
        <v>1</v>
      </c>
      <c r="M135" s="5" t="s">
        <v>1944</v>
      </c>
      <c r="N135" s="5" t="b">
        <v>1</v>
      </c>
    </row>
    <row r="136">
      <c r="A136" s="5" t="s">
        <v>2617</v>
      </c>
      <c r="B136" s="5" t="s">
        <v>2618</v>
      </c>
      <c r="C136" s="5" t="s">
        <v>2608</v>
      </c>
      <c r="D136" s="5" t="s">
        <v>2619</v>
      </c>
      <c r="E136" s="5" t="s">
        <v>2300</v>
      </c>
      <c r="F136" s="5">
        <v>8.6</v>
      </c>
      <c r="G136" s="5" t="s">
        <v>1371</v>
      </c>
      <c r="H136" s="5" t="s">
        <v>2620</v>
      </c>
      <c r="I136" s="5" t="s">
        <v>2303</v>
      </c>
      <c r="J136" s="5" t="s">
        <v>1465</v>
      </c>
      <c r="K136" s="5">
        <v>2.0</v>
      </c>
      <c r="L136" s="5" t="b">
        <v>1</v>
      </c>
      <c r="M136" s="5" t="s">
        <v>1944</v>
      </c>
      <c r="N136" s="5" t="b">
        <v>1</v>
      </c>
    </row>
    <row r="137">
      <c r="A137" s="5" t="s">
        <v>2621</v>
      </c>
      <c r="B137" s="5" t="s">
        <v>2622</v>
      </c>
      <c r="C137" s="5" t="s">
        <v>2608</v>
      </c>
      <c r="D137" s="5" t="s">
        <v>2623</v>
      </c>
      <c r="E137" s="5" t="s">
        <v>2300</v>
      </c>
      <c r="F137" s="5" t="s">
        <v>2610</v>
      </c>
      <c r="G137" s="5" t="s">
        <v>1371</v>
      </c>
      <c r="H137" s="5" t="s">
        <v>2624</v>
      </c>
      <c r="I137" s="5" t="s">
        <v>2303</v>
      </c>
      <c r="J137" s="5" t="s">
        <v>1465</v>
      </c>
      <c r="K137" s="5">
        <v>2.0</v>
      </c>
      <c r="L137" s="5" t="b">
        <v>1</v>
      </c>
      <c r="M137" s="5" t="s">
        <v>1944</v>
      </c>
      <c r="N137" s="5" t="b">
        <v>1</v>
      </c>
    </row>
    <row r="138">
      <c r="A138" s="5" t="s">
        <v>2625</v>
      </c>
      <c r="B138" s="5" t="s">
        <v>2626</v>
      </c>
      <c r="C138" s="5" t="s">
        <v>2608</v>
      </c>
      <c r="D138" s="5" t="s">
        <v>2627</v>
      </c>
      <c r="E138" s="5" t="s">
        <v>2300</v>
      </c>
      <c r="F138" s="5" t="s">
        <v>2628</v>
      </c>
      <c r="G138" s="5" t="s">
        <v>1371</v>
      </c>
      <c r="H138" s="5" t="s">
        <v>2629</v>
      </c>
      <c r="I138" s="5" t="s">
        <v>2303</v>
      </c>
      <c r="J138" s="5" t="s">
        <v>1465</v>
      </c>
      <c r="K138" s="5">
        <v>2.0</v>
      </c>
      <c r="L138" s="5" t="b">
        <v>1</v>
      </c>
      <c r="M138" s="5" t="s">
        <v>1944</v>
      </c>
      <c r="N138" s="5" t="b">
        <v>1</v>
      </c>
    </row>
    <row r="139">
      <c r="A139" s="5" t="s">
        <v>2630</v>
      </c>
      <c r="B139" s="5" t="s">
        <v>2631</v>
      </c>
      <c r="C139" s="5" t="s">
        <v>2608</v>
      </c>
      <c r="D139" s="5" t="s">
        <v>2632</v>
      </c>
      <c r="E139" s="5" t="s">
        <v>2300</v>
      </c>
      <c r="F139" s="5" t="s">
        <v>1770</v>
      </c>
      <c r="G139" s="5" t="s">
        <v>1371</v>
      </c>
      <c r="H139" s="5" t="s">
        <v>2329</v>
      </c>
      <c r="I139" s="5" t="s">
        <v>2303</v>
      </c>
      <c r="J139" s="5" t="s">
        <v>1465</v>
      </c>
      <c r="K139" s="5">
        <v>2.0</v>
      </c>
      <c r="L139" s="5" t="b">
        <v>1</v>
      </c>
      <c r="M139" s="5" t="s">
        <v>1944</v>
      </c>
      <c r="N139" s="5" t="b">
        <v>1</v>
      </c>
    </row>
    <row r="140">
      <c r="A140" s="5" t="s">
        <v>2633</v>
      </c>
      <c r="B140" s="5" t="s">
        <v>2634</v>
      </c>
      <c r="C140" s="5" t="s">
        <v>2608</v>
      </c>
      <c r="D140" s="5" t="s">
        <v>2635</v>
      </c>
      <c r="E140" s="5" t="s">
        <v>2300</v>
      </c>
      <c r="F140" s="5" t="s">
        <v>2528</v>
      </c>
      <c r="G140" s="5" t="s">
        <v>1371</v>
      </c>
      <c r="H140" s="5" t="s">
        <v>2636</v>
      </c>
      <c r="I140" s="5" t="s">
        <v>2303</v>
      </c>
      <c r="J140" s="5" t="s">
        <v>1465</v>
      </c>
      <c r="K140" s="5">
        <v>2.0</v>
      </c>
      <c r="L140" s="5" t="b">
        <v>1</v>
      </c>
      <c r="M140" s="5" t="s">
        <v>1944</v>
      </c>
      <c r="N140" s="5" t="b">
        <v>1</v>
      </c>
    </row>
    <row r="141">
      <c r="A141" s="5" t="s">
        <v>2637</v>
      </c>
      <c r="B141" s="5" t="s">
        <v>2638</v>
      </c>
      <c r="C141" s="5" t="s">
        <v>2608</v>
      </c>
      <c r="D141" s="5" t="s">
        <v>2639</v>
      </c>
      <c r="E141" s="5" t="s">
        <v>2300</v>
      </c>
      <c r="F141" s="5">
        <v>8.6</v>
      </c>
      <c r="G141" s="5" t="s">
        <v>1371</v>
      </c>
      <c r="H141" s="5" t="s">
        <v>2640</v>
      </c>
      <c r="I141" s="5" t="s">
        <v>2303</v>
      </c>
      <c r="J141" s="5" t="s">
        <v>1465</v>
      </c>
      <c r="K141" s="5">
        <v>2.0</v>
      </c>
      <c r="L141" s="5" t="b">
        <v>1</v>
      </c>
      <c r="M141" s="5" t="s">
        <v>1944</v>
      </c>
      <c r="N141" s="5" t="b">
        <v>1</v>
      </c>
    </row>
    <row r="142">
      <c r="A142" s="5" t="s">
        <v>2641</v>
      </c>
      <c r="B142" s="5" t="s">
        <v>2642</v>
      </c>
      <c r="C142" s="5" t="s">
        <v>2608</v>
      </c>
      <c r="D142" s="5" t="s">
        <v>2643</v>
      </c>
      <c r="E142" s="5" t="s">
        <v>2300</v>
      </c>
      <c r="F142" s="5" t="s">
        <v>2464</v>
      </c>
      <c r="G142" s="5" t="s">
        <v>1371</v>
      </c>
      <c r="H142" s="5" t="s">
        <v>2644</v>
      </c>
      <c r="I142" s="5" t="s">
        <v>2303</v>
      </c>
      <c r="J142" s="5" t="s">
        <v>1465</v>
      </c>
      <c r="K142" s="5">
        <v>2.0</v>
      </c>
      <c r="L142" s="5" t="b">
        <v>1</v>
      </c>
      <c r="M142" s="5" t="s">
        <v>1944</v>
      </c>
      <c r="N142" s="5" t="b">
        <v>1</v>
      </c>
    </row>
    <row r="143">
      <c r="A143" s="5" t="s">
        <v>2645</v>
      </c>
      <c r="B143" s="5" t="s">
        <v>2646</v>
      </c>
      <c r="C143" s="5" t="s">
        <v>2608</v>
      </c>
      <c r="D143" s="5" t="s">
        <v>2647</v>
      </c>
      <c r="E143" s="5" t="s">
        <v>2300</v>
      </c>
      <c r="F143" s="5" t="s">
        <v>2044</v>
      </c>
      <c r="G143" s="5" t="s">
        <v>1371</v>
      </c>
      <c r="H143" s="5" t="s">
        <v>2648</v>
      </c>
      <c r="I143" s="5" t="s">
        <v>2303</v>
      </c>
      <c r="J143" s="5" t="s">
        <v>1465</v>
      </c>
      <c r="K143" s="5">
        <v>2.0</v>
      </c>
      <c r="L143" s="5" t="b">
        <v>1</v>
      </c>
      <c r="M143" s="5" t="s">
        <v>1944</v>
      </c>
      <c r="N143" s="5" t="b">
        <v>1</v>
      </c>
    </row>
    <row r="144">
      <c r="A144" s="5" t="s">
        <v>2649</v>
      </c>
      <c r="B144" s="5" t="s">
        <v>2650</v>
      </c>
      <c r="C144" s="5" t="s">
        <v>2608</v>
      </c>
      <c r="D144" s="5" t="s">
        <v>2651</v>
      </c>
      <c r="E144" s="5" t="s">
        <v>2300</v>
      </c>
      <c r="F144" s="5" t="s">
        <v>2652</v>
      </c>
      <c r="G144" s="5" t="s">
        <v>1371</v>
      </c>
      <c r="H144" s="5" t="s">
        <v>2653</v>
      </c>
      <c r="I144" s="5" t="s">
        <v>2303</v>
      </c>
      <c r="J144" s="5" t="s">
        <v>1465</v>
      </c>
      <c r="K144" s="5">
        <v>2.0</v>
      </c>
      <c r="L144" s="5" t="b">
        <v>1</v>
      </c>
      <c r="M144" s="5" t="s">
        <v>1944</v>
      </c>
      <c r="N144" s="5" t="b">
        <v>1</v>
      </c>
    </row>
    <row r="145">
      <c r="A145" s="5" t="s">
        <v>2654</v>
      </c>
      <c r="B145" s="5" t="s">
        <v>2655</v>
      </c>
      <c r="C145" s="5" t="s">
        <v>2608</v>
      </c>
      <c r="D145" s="5" t="s">
        <v>2656</v>
      </c>
      <c r="E145" s="5" t="s">
        <v>2300</v>
      </c>
      <c r="F145" s="5">
        <v>8.6</v>
      </c>
      <c r="G145" s="5" t="s">
        <v>1371</v>
      </c>
      <c r="H145" s="5" t="s">
        <v>2657</v>
      </c>
      <c r="I145" s="5" t="s">
        <v>2303</v>
      </c>
      <c r="J145" s="5" t="s">
        <v>1465</v>
      </c>
      <c r="K145" s="5">
        <v>2.0</v>
      </c>
      <c r="L145" s="5" t="b">
        <v>1</v>
      </c>
      <c r="M145" s="5" t="s">
        <v>1944</v>
      </c>
      <c r="N145" s="5" t="b">
        <v>1</v>
      </c>
    </row>
    <row r="146">
      <c r="A146" s="5" t="s">
        <v>2658</v>
      </c>
      <c r="B146" s="5" t="s">
        <v>2659</v>
      </c>
      <c r="C146" s="5" t="s">
        <v>2660</v>
      </c>
      <c r="D146" s="5" t="s">
        <v>2661</v>
      </c>
      <c r="E146" s="5" t="s">
        <v>2300</v>
      </c>
      <c r="F146" s="5" t="s">
        <v>1659</v>
      </c>
      <c r="G146" s="5" t="s">
        <v>1398</v>
      </c>
      <c r="H146" s="5" t="s">
        <v>2662</v>
      </c>
      <c r="I146" s="5" t="s">
        <v>2303</v>
      </c>
      <c r="J146" s="5" t="s">
        <v>1452</v>
      </c>
      <c r="K146" s="5">
        <v>3.0</v>
      </c>
      <c r="L146" s="5" t="b">
        <v>1</v>
      </c>
      <c r="M146" s="5" t="s">
        <v>1944</v>
      </c>
      <c r="N146" s="5" t="b">
        <v>1</v>
      </c>
    </row>
    <row r="147">
      <c r="A147" s="5" t="s">
        <v>2663</v>
      </c>
      <c r="B147" s="5" t="s">
        <v>2664</v>
      </c>
      <c r="C147" s="5" t="s">
        <v>2660</v>
      </c>
      <c r="D147" s="5" t="s">
        <v>2665</v>
      </c>
      <c r="E147" s="5" t="s">
        <v>2300</v>
      </c>
      <c r="F147" s="5">
        <v>8.3</v>
      </c>
      <c r="G147" s="5" t="s">
        <v>1398</v>
      </c>
      <c r="H147" s="5" t="s">
        <v>2666</v>
      </c>
      <c r="I147" s="5" t="s">
        <v>2303</v>
      </c>
      <c r="J147" s="5" t="s">
        <v>1452</v>
      </c>
      <c r="K147" s="5">
        <v>3.0</v>
      </c>
      <c r="L147" s="5" t="b">
        <v>1</v>
      </c>
      <c r="M147" s="5" t="s">
        <v>1944</v>
      </c>
      <c r="N147" s="5" t="b">
        <v>1</v>
      </c>
    </row>
    <row r="148">
      <c r="A148" s="5" t="s">
        <v>2667</v>
      </c>
      <c r="B148" s="5" t="s">
        <v>2668</v>
      </c>
      <c r="C148" s="5" t="s">
        <v>2660</v>
      </c>
      <c r="D148" s="5" t="s">
        <v>2669</v>
      </c>
      <c r="E148" s="5" t="s">
        <v>2300</v>
      </c>
      <c r="F148" s="5" t="s">
        <v>2670</v>
      </c>
      <c r="G148" s="5" t="s">
        <v>1398</v>
      </c>
      <c r="H148" s="5" t="s">
        <v>2671</v>
      </c>
      <c r="I148" s="5" t="s">
        <v>2303</v>
      </c>
      <c r="J148" s="5" t="s">
        <v>1452</v>
      </c>
      <c r="K148" s="5">
        <v>3.0</v>
      </c>
      <c r="L148" s="5" t="b">
        <v>1</v>
      </c>
      <c r="M148" s="5" t="s">
        <v>1944</v>
      </c>
      <c r="N148" s="5" t="b">
        <v>1</v>
      </c>
    </row>
    <row r="149">
      <c r="A149" s="5" t="s">
        <v>2672</v>
      </c>
      <c r="B149" s="5" t="s">
        <v>2673</v>
      </c>
      <c r="C149" s="5" t="s">
        <v>2660</v>
      </c>
      <c r="D149" s="5" t="s">
        <v>2674</v>
      </c>
      <c r="E149" s="5" t="s">
        <v>2300</v>
      </c>
      <c r="F149" s="5" t="s">
        <v>2675</v>
      </c>
      <c r="G149" s="5" t="s">
        <v>1398</v>
      </c>
      <c r="H149" s="5" t="s">
        <v>2408</v>
      </c>
      <c r="I149" s="5" t="s">
        <v>2303</v>
      </c>
      <c r="J149" s="5" t="s">
        <v>1452</v>
      </c>
      <c r="K149" s="5">
        <v>3.0</v>
      </c>
      <c r="L149" s="5" t="b">
        <v>1</v>
      </c>
      <c r="M149" s="5" t="s">
        <v>1944</v>
      </c>
      <c r="N149" s="5" t="b">
        <v>1</v>
      </c>
    </row>
    <row r="150">
      <c r="A150" s="5" t="s">
        <v>2676</v>
      </c>
      <c r="B150" s="5" t="s">
        <v>2677</v>
      </c>
      <c r="C150" s="5" t="s">
        <v>2660</v>
      </c>
      <c r="D150" s="5" t="s">
        <v>2678</v>
      </c>
      <c r="E150" s="5" t="s">
        <v>2300</v>
      </c>
      <c r="F150" s="5" t="s">
        <v>1701</v>
      </c>
      <c r="G150" s="5" t="s">
        <v>1398</v>
      </c>
      <c r="H150" s="5" t="s">
        <v>2679</v>
      </c>
      <c r="I150" s="5" t="s">
        <v>2303</v>
      </c>
      <c r="J150" s="5" t="s">
        <v>1452</v>
      </c>
      <c r="K150" s="5">
        <v>3.0</v>
      </c>
      <c r="L150" s="5" t="b">
        <v>1</v>
      </c>
      <c r="M150" s="5" t="s">
        <v>1944</v>
      </c>
      <c r="N150" s="5" t="b">
        <v>1</v>
      </c>
    </row>
    <row r="151">
      <c r="A151" s="5" t="s">
        <v>2680</v>
      </c>
      <c r="B151" s="5" t="s">
        <v>2681</v>
      </c>
      <c r="C151" s="5" t="s">
        <v>2660</v>
      </c>
      <c r="D151" s="5" t="s">
        <v>2682</v>
      </c>
      <c r="E151" s="5" t="s">
        <v>2300</v>
      </c>
      <c r="F151" s="5" t="s">
        <v>2683</v>
      </c>
      <c r="G151" s="5" t="s">
        <v>1398</v>
      </c>
      <c r="H151" s="5" t="s">
        <v>2684</v>
      </c>
      <c r="I151" s="5" t="s">
        <v>2303</v>
      </c>
      <c r="J151" s="5" t="s">
        <v>1452</v>
      </c>
      <c r="K151" s="5">
        <v>3.0</v>
      </c>
      <c r="L151" s="5" t="b">
        <v>1</v>
      </c>
      <c r="M151" s="5" t="s">
        <v>1944</v>
      </c>
      <c r="N151" s="5" t="b">
        <v>1</v>
      </c>
    </row>
    <row r="152">
      <c r="A152" s="5" t="s">
        <v>2685</v>
      </c>
      <c r="B152" s="5" t="s">
        <v>2686</v>
      </c>
      <c r="C152" s="5" t="s">
        <v>2660</v>
      </c>
      <c r="D152" s="5" t="s">
        <v>2687</v>
      </c>
      <c r="E152" s="5" t="s">
        <v>2300</v>
      </c>
      <c r="F152" s="5" t="s">
        <v>2051</v>
      </c>
      <c r="G152" s="5" t="s">
        <v>1398</v>
      </c>
      <c r="H152" s="5" t="s">
        <v>2688</v>
      </c>
      <c r="I152" s="5" t="s">
        <v>2303</v>
      </c>
      <c r="J152" s="5" t="s">
        <v>1452</v>
      </c>
      <c r="K152" s="5">
        <v>3.0</v>
      </c>
      <c r="L152" s="5" t="b">
        <v>1</v>
      </c>
      <c r="M152" s="5" t="s">
        <v>1944</v>
      </c>
      <c r="N152" s="5" t="b">
        <v>1</v>
      </c>
    </row>
    <row r="153">
      <c r="A153" s="5" t="s">
        <v>2689</v>
      </c>
      <c r="B153" s="5" t="s">
        <v>2690</v>
      </c>
      <c r="C153" s="5" t="s">
        <v>2660</v>
      </c>
      <c r="D153" s="5" t="s">
        <v>2691</v>
      </c>
      <c r="E153" s="5" t="s">
        <v>2300</v>
      </c>
      <c r="F153" s="5" t="s">
        <v>2528</v>
      </c>
      <c r="G153" s="5" t="s">
        <v>1398</v>
      </c>
      <c r="H153" s="5" t="s">
        <v>2692</v>
      </c>
      <c r="I153" s="5" t="s">
        <v>2303</v>
      </c>
      <c r="J153" s="5" t="s">
        <v>1452</v>
      </c>
      <c r="K153" s="5">
        <v>3.0</v>
      </c>
      <c r="L153" s="5" t="b">
        <v>1</v>
      </c>
      <c r="M153" s="5" t="s">
        <v>1944</v>
      </c>
      <c r="N153" s="5" t="b">
        <v>1</v>
      </c>
    </row>
    <row r="154">
      <c r="A154" s="5" t="s">
        <v>2693</v>
      </c>
      <c r="B154" s="5" t="s">
        <v>2694</v>
      </c>
      <c r="C154" s="5" t="s">
        <v>2660</v>
      </c>
      <c r="D154" s="5" t="s">
        <v>2695</v>
      </c>
      <c r="E154" s="5" t="s">
        <v>2300</v>
      </c>
      <c r="F154" s="5" t="s">
        <v>2537</v>
      </c>
      <c r="G154" s="5" t="s">
        <v>1398</v>
      </c>
      <c r="H154" s="5" t="s">
        <v>2696</v>
      </c>
      <c r="I154" s="5" t="s">
        <v>2303</v>
      </c>
      <c r="J154" s="5" t="s">
        <v>1452</v>
      </c>
      <c r="K154" s="5">
        <v>3.0</v>
      </c>
      <c r="L154" s="5" t="b">
        <v>1</v>
      </c>
      <c r="M154" s="5" t="s">
        <v>1944</v>
      </c>
      <c r="N154" s="5" t="b">
        <v>1</v>
      </c>
    </row>
    <row r="155">
      <c r="A155" s="5" t="s">
        <v>2697</v>
      </c>
      <c r="B155" s="5" t="s">
        <v>2698</v>
      </c>
      <c r="C155" s="5" t="s">
        <v>2660</v>
      </c>
      <c r="D155" s="5" t="s">
        <v>2699</v>
      </c>
      <c r="E155" s="5" t="s">
        <v>2300</v>
      </c>
      <c r="F155" s="5" t="s">
        <v>1760</v>
      </c>
      <c r="G155" s="5" t="s">
        <v>1398</v>
      </c>
      <c r="H155" s="5" t="s">
        <v>2700</v>
      </c>
      <c r="I155" s="5" t="s">
        <v>2303</v>
      </c>
      <c r="J155" s="5" t="s">
        <v>1452</v>
      </c>
      <c r="K155" s="5">
        <v>3.0</v>
      </c>
      <c r="L155" s="5" t="b">
        <v>1</v>
      </c>
      <c r="M155" s="5" t="s">
        <v>1944</v>
      </c>
      <c r="N155" s="5" t="b">
        <v>1</v>
      </c>
    </row>
    <row r="156">
      <c r="A156" s="5" t="s">
        <v>2701</v>
      </c>
      <c r="B156" s="5" t="s">
        <v>2702</v>
      </c>
      <c r="C156" s="5" t="s">
        <v>2660</v>
      </c>
      <c r="D156" s="5" t="s">
        <v>2703</v>
      </c>
      <c r="E156" s="5" t="s">
        <v>2300</v>
      </c>
      <c r="F156" s="5" t="s">
        <v>2704</v>
      </c>
      <c r="G156" s="5" t="s">
        <v>1398</v>
      </c>
      <c r="H156" s="5" t="s">
        <v>2705</v>
      </c>
      <c r="I156" s="5" t="s">
        <v>2303</v>
      </c>
      <c r="J156" s="5" t="s">
        <v>1452</v>
      </c>
      <c r="K156" s="5">
        <v>3.0</v>
      </c>
      <c r="L156" s="5" t="b">
        <v>1</v>
      </c>
      <c r="M156" s="5" t="s">
        <v>1944</v>
      </c>
      <c r="N156" s="5" t="b">
        <v>1</v>
      </c>
    </row>
    <row r="157">
      <c r="A157" s="5" t="s">
        <v>2706</v>
      </c>
      <c r="B157" s="5" t="s">
        <v>2707</v>
      </c>
      <c r="C157" s="5" t="s">
        <v>2660</v>
      </c>
      <c r="D157" s="5" t="s">
        <v>2708</v>
      </c>
      <c r="E157" s="5" t="s">
        <v>2300</v>
      </c>
      <c r="F157" s="5" t="s">
        <v>2554</v>
      </c>
      <c r="G157" s="5" t="s">
        <v>1398</v>
      </c>
      <c r="H157" s="5" t="s">
        <v>2709</v>
      </c>
      <c r="I157" s="5" t="s">
        <v>2303</v>
      </c>
      <c r="J157" s="5" t="s">
        <v>1452</v>
      </c>
      <c r="K157" s="5">
        <v>3.0</v>
      </c>
      <c r="L157" s="5" t="b">
        <v>1</v>
      </c>
      <c r="M157" s="5" t="s">
        <v>1944</v>
      </c>
      <c r="N157" s="5" t="b">
        <v>1</v>
      </c>
    </row>
    <row r="158">
      <c r="A158" s="5" t="s">
        <v>2710</v>
      </c>
      <c r="B158" s="5" t="s">
        <v>2711</v>
      </c>
      <c r="C158" s="5" t="s">
        <v>2660</v>
      </c>
      <c r="D158" s="5" t="s">
        <v>2712</v>
      </c>
      <c r="E158" s="5" t="s">
        <v>2300</v>
      </c>
      <c r="F158" s="5">
        <v>8.4</v>
      </c>
      <c r="G158" s="5" t="s">
        <v>1398</v>
      </c>
      <c r="H158" s="5" t="s">
        <v>2713</v>
      </c>
      <c r="I158" s="5" t="s">
        <v>2303</v>
      </c>
      <c r="J158" s="5" t="s">
        <v>1452</v>
      </c>
      <c r="K158" s="5">
        <v>3.0</v>
      </c>
      <c r="L158" s="5" t="b">
        <v>1</v>
      </c>
      <c r="M158" s="5" t="s">
        <v>1944</v>
      </c>
      <c r="N158" s="5" t="b">
        <v>1</v>
      </c>
    </row>
    <row r="159">
      <c r="A159" s="5" t="s">
        <v>2714</v>
      </c>
      <c r="B159" s="5" t="s">
        <v>2715</v>
      </c>
      <c r="C159" s="5" t="s">
        <v>2660</v>
      </c>
      <c r="D159" s="5" t="s">
        <v>2716</v>
      </c>
      <c r="E159" s="5" t="s">
        <v>2300</v>
      </c>
      <c r="F159" s="5" t="s">
        <v>2717</v>
      </c>
      <c r="G159" s="5" t="s">
        <v>1398</v>
      </c>
      <c r="H159" s="5" t="s">
        <v>2718</v>
      </c>
      <c r="I159" s="5" t="s">
        <v>2303</v>
      </c>
      <c r="J159" s="5" t="s">
        <v>1452</v>
      </c>
      <c r="K159" s="5">
        <v>3.0</v>
      </c>
      <c r="L159" s="5" t="b">
        <v>1</v>
      </c>
      <c r="M159" s="5" t="s">
        <v>1944</v>
      </c>
      <c r="N159" s="5" t="b">
        <v>1</v>
      </c>
    </row>
    <row r="160">
      <c r="A160" s="5" t="s">
        <v>2719</v>
      </c>
      <c r="B160" s="5" t="s">
        <v>2720</v>
      </c>
      <c r="C160" s="5" t="s">
        <v>2721</v>
      </c>
      <c r="D160" s="5" t="s">
        <v>2722</v>
      </c>
      <c r="E160" s="5" t="s">
        <v>2300</v>
      </c>
      <c r="F160" s="5" t="s">
        <v>2723</v>
      </c>
      <c r="G160" s="5" t="s">
        <v>1393</v>
      </c>
      <c r="H160" s="5" t="s">
        <v>2611</v>
      </c>
      <c r="I160" s="5" t="s">
        <v>2303</v>
      </c>
      <c r="J160" s="5" t="s">
        <v>1465</v>
      </c>
      <c r="K160" s="5">
        <v>2.0</v>
      </c>
      <c r="L160" s="5" t="b">
        <v>1</v>
      </c>
      <c r="M160" s="5" t="s">
        <v>1944</v>
      </c>
      <c r="N160" s="5" t="b">
        <v>1</v>
      </c>
    </row>
    <row r="161">
      <c r="A161" s="5" t="s">
        <v>2724</v>
      </c>
      <c r="B161" s="5" t="s">
        <v>2725</v>
      </c>
      <c r="C161" s="5" t="s">
        <v>2721</v>
      </c>
      <c r="D161" s="5" t="s">
        <v>2726</v>
      </c>
      <c r="E161" s="5" t="s">
        <v>2300</v>
      </c>
      <c r="F161" s="5">
        <v>8.4</v>
      </c>
      <c r="G161" s="5" t="s">
        <v>1393</v>
      </c>
      <c r="H161" s="5" t="s">
        <v>2727</v>
      </c>
      <c r="I161" s="5" t="s">
        <v>2303</v>
      </c>
      <c r="J161" s="5" t="s">
        <v>1465</v>
      </c>
      <c r="K161" s="5">
        <v>2.0</v>
      </c>
      <c r="L161" s="5" t="b">
        <v>1</v>
      </c>
      <c r="M161" s="5" t="s">
        <v>1944</v>
      </c>
      <c r="N161" s="5" t="b">
        <v>1</v>
      </c>
    </row>
    <row r="162">
      <c r="A162" s="5" t="s">
        <v>2728</v>
      </c>
      <c r="B162" s="5" t="s">
        <v>2729</v>
      </c>
      <c r="C162" s="5" t="s">
        <v>2721</v>
      </c>
      <c r="D162" s="5" t="s">
        <v>2730</v>
      </c>
      <c r="E162" s="5" t="s">
        <v>2300</v>
      </c>
      <c r="F162" s="5" t="s">
        <v>1727</v>
      </c>
      <c r="G162" s="5" t="s">
        <v>1393</v>
      </c>
      <c r="H162" s="5" t="s">
        <v>2731</v>
      </c>
      <c r="I162" s="5" t="s">
        <v>2303</v>
      </c>
      <c r="J162" s="5" t="s">
        <v>1465</v>
      </c>
      <c r="K162" s="5">
        <v>2.0</v>
      </c>
      <c r="L162" s="5" t="b">
        <v>1</v>
      </c>
      <c r="M162" s="5" t="s">
        <v>1944</v>
      </c>
      <c r="N162" s="5" t="b">
        <v>1</v>
      </c>
    </row>
    <row r="163">
      <c r="A163" s="5" t="s">
        <v>2732</v>
      </c>
      <c r="B163" s="5" t="s">
        <v>2733</v>
      </c>
      <c r="C163" s="5" t="s">
        <v>2721</v>
      </c>
      <c r="D163" s="5" t="s">
        <v>2734</v>
      </c>
      <c r="E163" s="5" t="s">
        <v>2300</v>
      </c>
      <c r="F163" s="5" t="s">
        <v>1722</v>
      </c>
      <c r="G163" s="5" t="s">
        <v>1393</v>
      </c>
      <c r="H163" s="5" t="s">
        <v>2735</v>
      </c>
      <c r="I163" s="5" t="s">
        <v>2303</v>
      </c>
      <c r="J163" s="5" t="s">
        <v>1465</v>
      </c>
      <c r="K163" s="5">
        <v>2.0</v>
      </c>
      <c r="L163" s="5" t="b">
        <v>1</v>
      </c>
      <c r="M163" s="5" t="s">
        <v>1944</v>
      </c>
      <c r="N163" s="5" t="b">
        <v>1</v>
      </c>
    </row>
    <row r="164">
      <c r="A164" s="5" t="s">
        <v>2736</v>
      </c>
      <c r="B164" s="5" t="s">
        <v>2737</v>
      </c>
      <c r="C164" s="5" t="s">
        <v>2721</v>
      </c>
      <c r="D164" s="5" t="s">
        <v>2738</v>
      </c>
      <c r="E164" s="5" t="s">
        <v>2300</v>
      </c>
      <c r="F164" s="5" t="s">
        <v>2528</v>
      </c>
      <c r="G164" s="5" t="s">
        <v>1393</v>
      </c>
      <c r="H164" s="5" t="s">
        <v>2739</v>
      </c>
      <c r="I164" s="5" t="s">
        <v>2303</v>
      </c>
      <c r="J164" s="5" t="s">
        <v>1465</v>
      </c>
      <c r="K164" s="5">
        <v>2.0</v>
      </c>
      <c r="L164" s="5" t="b">
        <v>1</v>
      </c>
      <c r="M164" s="5" t="s">
        <v>1944</v>
      </c>
      <c r="N164" s="5" t="b">
        <v>1</v>
      </c>
    </row>
    <row r="165">
      <c r="A165" s="5" t="s">
        <v>2740</v>
      </c>
      <c r="B165" s="5" t="s">
        <v>2741</v>
      </c>
      <c r="C165" s="5" t="s">
        <v>2721</v>
      </c>
      <c r="D165" s="5" t="s">
        <v>2742</v>
      </c>
      <c r="E165" s="5" t="s">
        <v>2300</v>
      </c>
      <c r="F165" s="5" t="s">
        <v>2743</v>
      </c>
      <c r="G165" s="5" t="s">
        <v>1393</v>
      </c>
      <c r="H165" s="5" t="s">
        <v>2744</v>
      </c>
      <c r="I165" s="5" t="s">
        <v>2303</v>
      </c>
      <c r="J165" s="5" t="s">
        <v>1465</v>
      </c>
      <c r="K165" s="5">
        <v>2.0</v>
      </c>
      <c r="L165" s="5" t="b">
        <v>1</v>
      </c>
      <c r="M165" s="5" t="s">
        <v>1944</v>
      </c>
      <c r="N165" s="5" t="b">
        <v>1</v>
      </c>
    </row>
    <row r="166">
      <c r="A166" s="5" t="s">
        <v>2745</v>
      </c>
      <c r="B166" s="5" t="s">
        <v>2746</v>
      </c>
      <c r="C166" s="5" t="s">
        <v>2721</v>
      </c>
      <c r="D166" s="5" t="s">
        <v>2747</v>
      </c>
      <c r="E166" s="5" t="s">
        <v>2300</v>
      </c>
      <c r="F166" s="5" t="s">
        <v>2748</v>
      </c>
      <c r="G166" s="5" t="s">
        <v>1393</v>
      </c>
      <c r="H166" s="5" t="s">
        <v>2749</v>
      </c>
      <c r="I166" s="5" t="s">
        <v>2303</v>
      </c>
      <c r="J166" s="5" t="s">
        <v>1465</v>
      </c>
      <c r="K166" s="5">
        <v>2.0</v>
      </c>
      <c r="L166" s="5" t="b">
        <v>1</v>
      </c>
      <c r="M166" s="5" t="s">
        <v>1944</v>
      </c>
      <c r="N166" s="5" t="b">
        <v>1</v>
      </c>
    </row>
    <row r="167">
      <c r="A167" s="5" t="s">
        <v>2750</v>
      </c>
      <c r="B167" s="5" t="s">
        <v>2751</v>
      </c>
      <c r="C167" s="5" t="s">
        <v>2721</v>
      </c>
      <c r="D167" s="5" t="s">
        <v>2752</v>
      </c>
      <c r="E167" s="5" t="s">
        <v>2300</v>
      </c>
      <c r="F167" s="5" t="s">
        <v>1770</v>
      </c>
      <c r="G167" s="5" t="s">
        <v>1393</v>
      </c>
      <c r="H167" s="5" t="s">
        <v>2753</v>
      </c>
      <c r="I167" s="5" t="s">
        <v>2303</v>
      </c>
      <c r="J167" s="5" t="s">
        <v>1465</v>
      </c>
      <c r="K167" s="5">
        <v>2.0</v>
      </c>
      <c r="L167" s="5" t="b">
        <v>1</v>
      </c>
      <c r="M167" s="5" t="s">
        <v>1944</v>
      </c>
      <c r="N167" s="5" t="b">
        <v>1</v>
      </c>
    </row>
    <row r="168">
      <c r="A168" s="5" t="s">
        <v>2754</v>
      </c>
      <c r="B168" s="5" t="s">
        <v>2755</v>
      </c>
      <c r="C168" s="5" t="s">
        <v>2721</v>
      </c>
      <c r="D168" s="5" t="s">
        <v>2756</v>
      </c>
      <c r="E168" s="5" t="s">
        <v>2300</v>
      </c>
      <c r="F168" s="5" t="s">
        <v>1765</v>
      </c>
      <c r="G168" s="5" t="s">
        <v>1393</v>
      </c>
      <c r="H168" s="5" t="s">
        <v>2757</v>
      </c>
      <c r="I168" s="5" t="s">
        <v>2303</v>
      </c>
      <c r="J168" s="5" t="s">
        <v>1465</v>
      </c>
      <c r="K168" s="5">
        <v>2.0</v>
      </c>
      <c r="L168" s="5" t="b">
        <v>1</v>
      </c>
      <c r="M168" s="5" t="s">
        <v>1944</v>
      </c>
      <c r="N168" s="5" t="b">
        <v>1</v>
      </c>
    </row>
    <row r="169">
      <c r="A169" s="5" t="s">
        <v>2758</v>
      </c>
      <c r="B169" s="5" t="s">
        <v>2759</v>
      </c>
      <c r="C169" s="5" t="s">
        <v>2721</v>
      </c>
      <c r="D169" s="5" t="s">
        <v>2760</v>
      </c>
      <c r="E169" s="5" t="s">
        <v>2300</v>
      </c>
      <c r="F169" s="5" t="s">
        <v>2761</v>
      </c>
      <c r="G169" s="5" t="s">
        <v>1393</v>
      </c>
      <c r="H169" s="5" t="s">
        <v>2762</v>
      </c>
      <c r="I169" s="5" t="s">
        <v>2303</v>
      </c>
      <c r="J169" s="5" t="s">
        <v>1465</v>
      </c>
      <c r="K169" s="5">
        <v>2.0</v>
      </c>
      <c r="L169" s="5" t="b">
        <v>1</v>
      </c>
      <c r="M169" s="5" t="s">
        <v>1944</v>
      </c>
      <c r="N169" s="5" t="b">
        <v>1</v>
      </c>
    </row>
    <row r="170">
      <c r="A170" s="5" t="s">
        <v>2763</v>
      </c>
      <c r="B170" s="5" t="s">
        <v>2764</v>
      </c>
      <c r="C170" s="5" t="s">
        <v>2765</v>
      </c>
      <c r="D170" s="5" t="s">
        <v>2766</v>
      </c>
      <c r="E170" s="5" t="s">
        <v>2300</v>
      </c>
      <c r="F170" s="5" t="s">
        <v>2174</v>
      </c>
      <c r="G170" s="5" t="s">
        <v>1402</v>
      </c>
      <c r="H170" s="5" t="s">
        <v>2767</v>
      </c>
      <c r="I170" s="5" t="s">
        <v>2303</v>
      </c>
      <c r="J170" s="5" t="s">
        <v>1465</v>
      </c>
      <c r="K170" s="5">
        <v>2.0</v>
      </c>
      <c r="L170" s="5" t="b">
        <v>1</v>
      </c>
      <c r="M170" s="5" t="s">
        <v>1944</v>
      </c>
      <c r="N170" s="5" t="b">
        <v>1</v>
      </c>
    </row>
    <row r="171">
      <c r="A171" s="5" t="s">
        <v>2768</v>
      </c>
      <c r="B171" s="5" t="s">
        <v>2769</v>
      </c>
      <c r="C171" s="5" t="s">
        <v>2765</v>
      </c>
      <c r="D171" s="5" t="s">
        <v>2770</v>
      </c>
      <c r="E171" s="5" t="s">
        <v>2300</v>
      </c>
      <c r="F171" s="5">
        <v>6.1</v>
      </c>
      <c r="G171" s="5" t="s">
        <v>1402</v>
      </c>
      <c r="H171" s="5" t="s">
        <v>2771</v>
      </c>
      <c r="I171" s="5" t="s">
        <v>2303</v>
      </c>
      <c r="J171" s="5" t="s">
        <v>1465</v>
      </c>
      <c r="K171" s="5">
        <v>2.0</v>
      </c>
      <c r="L171" s="5" t="b">
        <v>1</v>
      </c>
      <c r="M171" s="5" t="s">
        <v>1944</v>
      </c>
      <c r="N171" s="5" t="b">
        <v>1</v>
      </c>
    </row>
    <row r="172">
      <c r="A172" s="5" t="s">
        <v>2772</v>
      </c>
      <c r="B172" s="5" t="s">
        <v>2773</v>
      </c>
      <c r="C172" s="5" t="s">
        <v>2765</v>
      </c>
      <c r="D172" s="5" t="s">
        <v>2774</v>
      </c>
      <c r="E172" s="5" t="s">
        <v>2300</v>
      </c>
      <c r="F172" s="5" t="s">
        <v>1659</v>
      </c>
      <c r="G172" s="5" t="s">
        <v>1402</v>
      </c>
      <c r="H172" s="5" t="s">
        <v>2775</v>
      </c>
      <c r="I172" s="5" t="s">
        <v>2303</v>
      </c>
      <c r="J172" s="5" t="s">
        <v>1465</v>
      </c>
      <c r="K172" s="5">
        <v>2.0</v>
      </c>
      <c r="L172" s="5" t="b">
        <v>1</v>
      </c>
      <c r="M172" s="5" t="s">
        <v>1944</v>
      </c>
      <c r="N172" s="5" t="b">
        <v>1</v>
      </c>
    </row>
    <row r="173">
      <c r="A173" s="5" t="s">
        <v>2776</v>
      </c>
      <c r="B173" s="5" t="s">
        <v>2777</v>
      </c>
      <c r="C173" s="5" t="s">
        <v>2765</v>
      </c>
      <c r="D173" s="5" t="s">
        <v>2778</v>
      </c>
      <c r="E173" s="5" t="s">
        <v>2300</v>
      </c>
      <c r="F173" s="5" t="s">
        <v>2779</v>
      </c>
      <c r="G173" s="5" t="s">
        <v>1402</v>
      </c>
      <c r="H173" s="5" t="s">
        <v>2780</v>
      </c>
      <c r="I173" s="5" t="s">
        <v>2303</v>
      </c>
      <c r="J173" s="5" t="s">
        <v>1465</v>
      </c>
      <c r="K173" s="5">
        <v>2.0</v>
      </c>
      <c r="L173" s="5" t="b">
        <v>1</v>
      </c>
      <c r="M173" s="5" t="s">
        <v>1944</v>
      </c>
      <c r="N173" s="5" t="b">
        <v>1</v>
      </c>
    </row>
    <row r="174">
      <c r="A174" s="5" t="s">
        <v>2781</v>
      </c>
      <c r="B174" s="5" t="s">
        <v>2782</v>
      </c>
      <c r="C174" s="5" t="s">
        <v>2765</v>
      </c>
      <c r="D174" s="5" t="s">
        <v>2783</v>
      </c>
      <c r="E174" s="5" t="s">
        <v>2300</v>
      </c>
      <c r="F174" s="5">
        <v>7.2</v>
      </c>
      <c r="G174" s="5" t="s">
        <v>1402</v>
      </c>
      <c r="H174" s="5" t="s">
        <v>2784</v>
      </c>
      <c r="I174" s="5" t="s">
        <v>2303</v>
      </c>
      <c r="J174" s="5" t="s">
        <v>1465</v>
      </c>
      <c r="K174" s="5">
        <v>2.0</v>
      </c>
      <c r="L174" s="5" t="b">
        <v>1</v>
      </c>
      <c r="M174" s="5" t="s">
        <v>1944</v>
      </c>
      <c r="N174" s="5" t="b">
        <v>1</v>
      </c>
    </row>
    <row r="175">
      <c r="A175" s="5" t="s">
        <v>2785</v>
      </c>
      <c r="B175" s="5" t="s">
        <v>2786</v>
      </c>
      <c r="C175" s="5" t="s">
        <v>2765</v>
      </c>
      <c r="D175" s="5" t="s">
        <v>2787</v>
      </c>
      <c r="E175" s="5" t="s">
        <v>2300</v>
      </c>
      <c r="F175" s="5" t="s">
        <v>1659</v>
      </c>
      <c r="G175" s="5" t="s">
        <v>1402</v>
      </c>
      <c r="H175" s="5" t="s">
        <v>2788</v>
      </c>
      <c r="I175" s="5" t="s">
        <v>2303</v>
      </c>
      <c r="J175" s="5" t="s">
        <v>1465</v>
      </c>
      <c r="K175" s="5">
        <v>2.0</v>
      </c>
      <c r="L175" s="5" t="b">
        <v>1</v>
      </c>
      <c r="M175" s="5" t="s">
        <v>1944</v>
      </c>
      <c r="N175" s="5" t="b">
        <v>1</v>
      </c>
    </row>
    <row r="176">
      <c r="A176" s="5" t="s">
        <v>2789</v>
      </c>
      <c r="B176" s="5" t="s">
        <v>2790</v>
      </c>
      <c r="C176" s="5" t="s">
        <v>2765</v>
      </c>
      <c r="D176" s="5" t="s">
        <v>2791</v>
      </c>
      <c r="E176" s="5" t="s">
        <v>2300</v>
      </c>
      <c r="F176" s="5">
        <v>8.6</v>
      </c>
      <c r="G176" s="5" t="s">
        <v>1402</v>
      </c>
      <c r="H176" s="5" t="s">
        <v>2792</v>
      </c>
      <c r="I176" s="5" t="s">
        <v>2303</v>
      </c>
      <c r="J176" s="5" t="s">
        <v>1465</v>
      </c>
      <c r="K176" s="5">
        <v>2.0</v>
      </c>
      <c r="L176" s="5" t="b">
        <v>1</v>
      </c>
      <c r="M176" s="5" t="s">
        <v>1944</v>
      </c>
      <c r="N176" s="5" t="b">
        <v>1</v>
      </c>
    </row>
    <row r="177">
      <c r="A177" s="5" t="s">
        <v>2793</v>
      </c>
      <c r="B177" s="5" t="s">
        <v>2794</v>
      </c>
      <c r="C177" s="5" t="s">
        <v>2765</v>
      </c>
      <c r="D177" s="5" t="s">
        <v>2795</v>
      </c>
      <c r="E177" s="5" t="s">
        <v>2300</v>
      </c>
      <c r="F177" s="5" t="s">
        <v>1983</v>
      </c>
      <c r="G177" s="5" t="s">
        <v>1402</v>
      </c>
      <c r="H177" s="5" t="s">
        <v>2796</v>
      </c>
      <c r="I177" s="5" t="s">
        <v>2303</v>
      </c>
      <c r="J177" s="5" t="s">
        <v>1465</v>
      </c>
      <c r="K177" s="5">
        <v>2.0</v>
      </c>
      <c r="L177" s="5" t="b">
        <v>1</v>
      </c>
      <c r="M177" s="5" t="s">
        <v>1944</v>
      </c>
      <c r="N177" s="5" t="b">
        <v>1</v>
      </c>
    </row>
    <row r="178">
      <c r="A178" s="5" t="s">
        <v>2797</v>
      </c>
      <c r="B178" s="5" t="s">
        <v>2798</v>
      </c>
      <c r="C178" s="5" t="s">
        <v>2765</v>
      </c>
      <c r="D178" s="5" t="s">
        <v>2799</v>
      </c>
      <c r="E178" s="5" t="s">
        <v>2300</v>
      </c>
      <c r="F178" s="5">
        <v>8.7</v>
      </c>
      <c r="G178" s="5" t="s">
        <v>1402</v>
      </c>
      <c r="H178" s="5" t="s">
        <v>2800</v>
      </c>
      <c r="I178" s="5" t="s">
        <v>2303</v>
      </c>
      <c r="J178" s="5" t="s">
        <v>1465</v>
      </c>
      <c r="K178" s="5">
        <v>2.0</v>
      </c>
      <c r="L178" s="5" t="b">
        <v>1</v>
      </c>
      <c r="M178" s="5" t="s">
        <v>1944</v>
      </c>
      <c r="N178" s="5" t="b">
        <v>1</v>
      </c>
    </row>
    <row r="179">
      <c r="A179" s="5" t="s">
        <v>2801</v>
      </c>
      <c r="B179" s="5" t="s">
        <v>2802</v>
      </c>
      <c r="C179" s="5" t="s">
        <v>2765</v>
      </c>
      <c r="D179" s="5" t="s">
        <v>2803</v>
      </c>
      <c r="E179" s="5" t="s">
        <v>2300</v>
      </c>
      <c r="F179" s="5" t="s">
        <v>2804</v>
      </c>
      <c r="G179" s="5" t="s">
        <v>1402</v>
      </c>
      <c r="H179" s="5" t="s">
        <v>2805</v>
      </c>
      <c r="I179" s="5" t="s">
        <v>2303</v>
      </c>
      <c r="J179" s="5" t="s">
        <v>1465</v>
      </c>
      <c r="K179" s="5">
        <v>2.0</v>
      </c>
      <c r="L179" s="5" t="b">
        <v>1</v>
      </c>
      <c r="M179" s="5" t="s">
        <v>1944</v>
      </c>
      <c r="N179" s="5" t="b">
        <v>1</v>
      </c>
    </row>
    <row r="180">
      <c r="A180" s="5" t="s">
        <v>2806</v>
      </c>
      <c r="B180" s="5" t="s">
        <v>2807</v>
      </c>
      <c r="C180" s="5" t="s">
        <v>2808</v>
      </c>
      <c r="D180" s="5" t="s">
        <v>2809</v>
      </c>
      <c r="E180" s="5" t="s">
        <v>2300</v>
      </c>
      <c r="F180" s="5" t="s">
        <v>2723</v>
      </c>
      <c r="G180" s="5" t="s">
        <v>1406</v>
      </c>
      <c r="H180" s="5" t="s">
        <v>2611</v>
      </c>
      <c r="I180" s="5" t="s">
        <v>2303</v>
      </c>
      <c r="J180" s="5" t="s">
        <v>1465</v>
      </c>
      <c r="K180" s="5">
        <v>2.0</v>
      </c>
      <c r="L180" s="5" t="b">
        <v>1</v>
      </c>
      <c r="M180" s="5" t="s">
        <v>1944</v>
      </c>
      <c r="N180" s="5" t="b">
        <v>1</v>
      </c>
    </row>
    <row r="181">
      <c r="A181" s="5" t="s">
        <v>2810</v>
      </c>
      <c r="B181" s="5" t="s">
        <v>2811</v>
      </c>
      <c r="C181" s="5" t="s">
        <v>2808</v>
      </c>
      <c r="D181" s="5" t="s">
        <v>2812</v>
      </c>
      <c r="E181" s="5" t="s">
        <v>2300</v>
      </c>
      <c r="F181" s="5">
        <v>7.2</v>
      </c>
      <c r="G181" s="5" t="s">
        <v>1406</v>
      </c>
      <c r="H181" s="5" t="s">
        <v>2813</v>
      </c>
      <c r="I181" s="5" t="s">
        <v>2303</v>
      </c>
      <c r="J181" s="5" t="s">
        <v>1465</v>
      </c>
      <c r="K181" s="5">
        <v>2.0</v>
      </c>
      <c r="L181" s="5" t="b">
        <v>1</v>
      </c>
      <c r="M181" s="5" t="s">
        <v>1944</v>
      </c>
      <c r="N181" s="5" t="b">
        <v>1</v>
      </c>
    </row>
    <row r="182">
      <c r="A182" s="5" t="s">
        <v>2814</v>
      </c>
      <c r="B182" s="5" t="s">
        <v>2815</v>
      </c>
      <c r="C182" s="5" t="s">
        <v>2808</v>
      </c>
      <c r="D182" s="5" t="s">
        <v>2816</v>
      </c>
      <c r="E182" s="5" t="s">
        <v>2300</v>
      </c>
      <c r="F182" s="5" t="s">
        <v>2817</v>
      </c>
      <c r="G182" s="5" t="s">
        <v>1406</v>
      </c>
      <c r="H182" s="5" t="s">
        <v>2818</v>
      </c>
      <c r="I182" s="5" t="s">
        <v>2303</v>
      </c>
      <c r="J182" s="5" t="s">
        <v>1465</v>
      </c>
      <c r="K182" s="5">
        <v>2.0</v>
      </c>
      <c r="L182" s="5" t="b">
        <v>1</v>
      </c>
      <c r="M182" s="5" t="s">
        <v>1944</v>
      </c>
      <c r="N182" s="5" t="b">
        <v>1</v>
      </c>
    </row>
    <row r="183">
      <c r="A183" s="5" t="s">
        <v>2819</v>
      </c>
      <c r="B183" s="5" t="s">
        <v>2820</v>
      </c>
      <c r="C183" s="5" t="s">
        <v>2808</v>
      </c>
      <c r="D183" s="5" t="s">
        <v>2821</v>
      </c>
      <c r="E183" s="5" t="s">
        <v>2300</v>
      </c>
      <c r="F183" s="5" t="s">
        <v>2822</v>
      </c>
      <c r="G183" s="5" t="s">
        <v>1406</v>
      </c>
      <c r="H183" s="5" t="s">
        <v>2823</v>
      </c>
      <c r="I183" s="5" t="s">
        <v>2303</v>
      </c>
      <c r="J183" s="5" t="s">
        <v>1465</v>
      </c>
      <c r="K183" s="5">
        <v>2.0</v>
      </c>
      <c r="L183" s="5" t="b">
        <v>1</v>
      </c>
      <c r="M183" s="5" t="s">
        <v>1944</v>
      </c>
      <c r="N183" s="5" t="b">
        <v>1</v>
      </c>
    </row>
    <row r="184">
      <c r="A184" s="5" t="s">
        <v>2824</v>
      </c>
      <c r="B184" s="5" t="s">
        <v>2825</v>
      </c>
      <c r="C184" s="5" t="s">
        <v>2808</v>
      </c>
      <c r="D184" s="5" t="s">
        <v>2826</v>
      </c>
      <c r="E184" s="5" t="s">
        <v>2300</v>
      </c>
      <c r="F184" s="5" t="s">
        <v>2044</v>
      </c>
      <c r="G184" s="5" t="s">
        <v>1406</v>
      </c>
      <c r="H184" s="5" t="s">
        <v>2460</v>
      </c>
      <c r="I184" s="5" t="s">
        <v>2303</v>
      </c>
      <c r="J184" s="5" t="s">
        <v>1465</v>
      </c>
      <c r="K184" s="5">
        <v>2.0</v>
      </c>
      <c r="L184" s="5" t="b">
        <v>1</v>
      </c>
      <c r="M184" s="5" t="s">
        <v>1944</v>
      </c>
      <c r="N184" s="5" t="b">
        <v>1</v>
      </c>
    </row>
    <row r="185">
      <c r="A185" s="5" t="s">
        <v>2827</v>
      </c>
      <c r="B185" s="5" t="s">
        <v>2828</v>
      </c>
      <c r="C185" s="5" t="s">
        <v>2808</v>
      </c>
      <c r="D185" s="5" t="s">
        <v>2829</v>
      </c>
      <c r="E185" s="5" t="s">
        <v>2300</v>
      </c>
      <c r="F185" s="5" t="s">
        <v>2830</v>
      </c>
      <c r="G185" s="5" t="s">
        <v>1406</v>
      </c>
      <c r="H185" s="5" t="s">
        <v>2831</v>
      </c>
      <c r="I185" s="5" t="s">
        <v>2303</v>
      </c>
      <c r="J185" s="5" t="s">
        <v>1465</v>
      </c>
      <c r="K185" s="5">
        <v>2.0</v>
      </c>
      <c r="L185" s="5" t="b">
        <v>1</v>
      </c>
      <c r="M185" s="5" t="s">
        <v>1944</v>
      </c>
      <c r="N185" s="5" t="b">
        <v>1</v>
      </c>
    </row>
    <row r="186">
      <c r="A186" s="5" t="s">
        <v>2832</v>
      </c>
      <c r="B186" s="5" t="s">
        <v>2833</v>
      </c>
      <c r="C186" s="5" t="s">
        <v>2808</v>
      </c>
      <c r="D186" s="5" t="s">
        <v>2834</v>
      </c>
      <c r="E186" s="5" t="s">
        <v>2300</v>
      </c>
      <c r="F186" s="5" t="s">
        <v>1727</v>
      </c>
      <c r="G186" s="5" t="s">
        <v>1406</v>
      </c>
      <c r="H186" s="5" t="s">
        <v>2835</v>
      </c>
      <c r="I186" s="5" t="s">
        <v>2303</v>
      </c>
      <c r="J186" s="5" t="s">
        <v>1465</v>
      </c>
      <c r="K186" s="5">
        <v>2.0</v>
      </c>
      <c r="L186" s="5" t="b">
        <v>1</v>
      </c>
      <c r="M186" s="5" t="s">
        <v>1944</v>
      </c>
      <c r="N186" s="5" t="b">
        <v>1</v>
      </c>
    </row>
    <row r="187">
      <c r="A187" s="5" t="s">
        <v>2836</v>
      </c>
      <c r="B187" s="5" t="s">
        <v>2837</v>
      </c>
      <c r="C187" s="5" t="s">
        <v>2808</v>
      </c>
      <c r="D187" s="5" t="s">
        <v>2838</v>
      </c>
      <c r="E187" s="5" t="s">
        <v>2300</v>
      </c>
      <c r="F187" s="5" t="s">
        <v>2145</v>
      </c>
      <c r="G187" s="5" t="s">
        <v>1406</v>
      </c>
      <c r="H187" s="5" t="s">
        <v>2839</v>
      </c>
      <c r="I187" s="5" t="s">
        <v>2303</v>
      </c>
      <c r="J187" s="5" t="s">
        <v>1465</v>
      </c>
      <c r="K187" s="5">
        <v>2.0</v>
      </c>
      <c r="L187" s="5" t="b">
        <v>1</v>
      </c>
      <c r="M187" s="5" t="s">
        <v>1944</v>
      </c>
      <c r="N187" s="5" t="b">
        <v>1</v>
      </c>
    </row>
    <row r="188">
      <c r="A188" s="5" t="s">
        <v>2840</v>
      </c>
      <c r="B188" s="5" t="s">
        <v>2841</v>
      </c>
      <c r="C188" s="5" t="s">
        <v>2842</v>
      </c>
      <c r="D188" s="5" t="s">
        <v>2843</v>
      </c>
      <c r="E188" s="5" t="s">
        <v>2300</v>
      </c>
      <c r="F188" s="5" t="s">
        <v>2844</v>
      </c>
      <c r="G188" s="5" t="s">
        <v>1410</v>
      </c>
      <c r="H188" s="5" t="s">
        <v>2845</v>
      </c>
      <c r="I188" s="5" t="s">
        <v>2303</v>
      </c>
      <c r="J188" s="5" t="s">
        <v>1465</v>
      </c>
      <c r="K188" s="5">
        <v>2.0</v>
      </c>
      <c r="L188" s="5" t="b">
        <v>1</v>
      </c>
      <c r="M188" s="5" t="s">
        <v>1944</v>
      </c>
      <c r="N188" s="5" t="b">
        <v>1</v>
      </c>
    </row>
    <row r="189">
      <c r="A189" s="5" t="s">
        <v>2846</v>
      </c>
      <c r="B189" s="5" t="s">
        <v>2847</v>
      </c>
      <c r="C189" s="5" t="s">
        <v>2842</v>
      </c>
      <c r="D189" s="5" t="s">
        <v>2848</v>
      </c>
      <c r="E189" s="5" t="s">
        <v>2300</v>
      </c>
      <c r="F189" s="5" t="s">
        <v>1701</v>
      </c>
      <c r="G189" s="5" t="s">
        <v>1410</v>
      </c>
      <c r="H189" s="5" t="s">
        <v>2849</v>
      </c>
      <c r="I189" s="5" t="s">
        <v>2303</v>
      </c>
      <c r="J189" s="5" t="s">
        <v>1465</v>
      </c>
      <c r="K189" s="5">
        <v>2.0</v>
      </c>
      <c r="L189" s="5" t="b">
        <v>1</v>
      </c>
      <c r="M189" s="5" t="s">
        <v>1944</v>
      </c>
      <c r="N189" s="5" t="b">
        <v>1</v>
      </c>
    </row>
    <row r="190">
      <c r="A190" s="5" t="s">
        <v>2850</v>
      </c>
      <c r="B190" s="5" t="s">
        <v>2851</v>
      </c>
      <c r="C190" s="5" t="s">
        <v>2842</v>
      </c>
      <c r="D190" s="5" t="s">
        <v>2852</v>
      </c>
      <c r="E190" s="5" t="s">
        <v>2300</v>
      </c>
      <c r="F190" s="5">
        <v>8.6</v>
      </c>
      <c r="G190" s="5" t="s">
        <v>1410</v>
      </c>
      <c r="H190" s="5" t="s">
        <v>2853</v>
      </c>
      <c r="I190" s="5" t="s">
        <v>2303</v>
      </c>
      <c r="J190" s="5" t="s">
        <v>1465</v>
      </c>
      <c r="K190" s="5">
        <v>2.0</v>
      </c>
      <c r="L190" s="5" t="b">
        <v>1</v>
      </c>
      <c r="M190" s="5" t="s">
        <v>1944</v>
      </c>
      <c r="N190" s="5" t="b">
        <v>1</v>
      </c>
    </row>
    <row r="191">
      <c r="A191" s="5" t="s">
        <v>2854</v>
      </c>
      <c r="B191" s="5" t="s">
        <v>2855</v>
      </c>
      <c r="C191" s="5" t="s">
        <v>2842</v>
      </c>
      <c r="D191" s="5" t="s">
        <v>2856</v>
      </c>
      <c r="E191" s="5" t="s">
        <v>2300</v>
      </c>
      <c r="F191" s="5" t="s">
        <v>2857</v>
      </c>
      <c r="G191" s="5" t="s">
        <v>1410</v>
      </c>
      <c r="H191" s="5" t="s">
        <v>2611</v>
      </c>
      <c r="I191" s="5" t="s">
        <v>2303</v>
      </c>
      <c r="J191" s="5" t="s">
        <v>1465</v>
      </c>
      <c r="K191" s="5">
        <v>2.0</v>
      </c>
      <c r="L191" s="5" t="b">
        <v>1</v>
      </c>
      <c r="M191" s="5" t="s">
        <v>1944</v>
      </c>
      <c r="N191" s="5" t="b">
        <v>1</v>
      </c>
    </row>
    <row r="192">
      <c r="A192" s="5" t="s">
        <v>2858</v>
      </c>
      <c r="B192" s="5" t="s">
        <v>2859</v>
      </c>
      <c r="C192" s="5" t="s">
        <v>2842</v>
      </c>
      <c r="D192" s="5" t="s">
        <v>2860</v>
      </c>
      <c r="E192" s="5" t="s">
        <v>2300</v>
      </c>
      <c r="F192" s="5" t="s">
        <v>2589</v>
      </c>
      <c r="G192" s="5" t="s">
        <v>1410</v>
      </c>
      <c r="H192" s="5" t="s">
        <v>2861</v>
      </c>
      <c r="I192" s="5" t="s">
        <v>2303</v>
      </c>
      <c r="J192" s="5" t="s">
        <v>1465</v>
      </c>
      <c r="K192" s="5">
        <v>2.0</v>
      </c>
      <c r="L192" s="5" t="b">
        <v>1</v>
      </c>
      <c r="M192" s="5" t="s">
        <v>1944</v>
      </c>
      <c r="N192" s="5" t="b">
        <v>1</v>
      </c>
    </row>
    <row r="193">
      <c r="A193" s="5" t="s">
        <v>2862</v>
      </c>
      <c r="B193" s="5" t="s">
        <v>2863</v>
      </c>
      <c r="C193" s="5" t="s">
        <v>2842</v>
      </c>
      <c r="D193" s="5" t="s">
        <v>2864</v>
      </c>
      <c r="E193" s="5" t="s">
        <v>2300</v>
      </c>
      <c r="F193" s="5" t="s">
        <v>2865</v>
      </c>
      <c r="G193" s="5" t="s">
        <v>1410</v>
      </c>
      <c r="H193" s="5" t="s">
        <v>2866</v>
      </c>
      <c r="I193" s="5" t="s">
        <v>2303</v>
      </c>
      <c r="J193" s="5" t="s">
        <v>1465</v>
      </c>
      <c r="K193" s="5">
        <v>2.0</v>
      </c>
      <c r="L193" s="5" t="b">
        <v>1</v>
      </c>
      <c r="M193" s="5" t="s">
        <v>1944</v>
      </c>
      <c r="N193" s="5" t="b">
        <v>1</v>
      </c>
    </row>
    <row r="194">
      <c r="A194" s="5" t="s">
        <v>2867</v>
      </c>
      <c r="B194" s="5" t="s">
        <v>2868</v>
      </c>
      <c r="C194" s="5" t="s">
        <v>2842</v>
      </c>
      <c r="D194" s="5" t="s">
        <v>2869</v>
      </c>
      <c r="E194" s="5" t="s">
        <v>2300</v>
      </c>
      <c r="F194" s="5" t="s">
        <v>2610</v>
      </c>
      <c r="G194" s="5" t="s">
        <v>1410</v>
      </c>
      <c r="H194" s="5" t="s">
        <v>2870</v>
      </c>
      <c r="I194" s="5" t="s">
        <v>2303</v>
      </c>
      <c r="J194" s="5" t="s">
        <v>1465</v>
      </c>
      <c r="K194" s="5">
        <v>2.0</v>
      </c>
      <c r="L194" s="5" t="b">
        <v>1</v>
      </c>
      <c r="M194" s="5" t="s">
        <v>1944</v>
      </c>
      <c r="N194" s="5" t="b">
        <v>1</v>
      </c>
    </row>
    <row r="195">
      <c r="A195" s="5" t="s">
        <v>2871</v>
      </c>
      <c r="B195" s="5" t="s">
        <v>2872</v>
      </c>
      <c r="C195" s="5" t="s">
        <v>2842</v>
      </c>
      <c r="D195" s="5" t="s">
        <v>2873</v>
      </c>
      <c r="E195" s="5" t="s">
        <v>2300</v>
      </c>
      <c r="F195" s="5" t="s">
        <v>1760</v>
      </c>
      <c r="G195" s="5" t="s">
        <v>1410</v>
      </c>
      <c r="H195" s="5" t="s">
        <v>2874</v>
      </c>
      <c r="I195" s="5" t="s">
        <v>2303</v>
      </c>
      <c r="J195" s="5" t="s">
        <v>1465</v>
      </c>
      <c r="K195" s="5">
        <v>2.0</v>
      </c>
      <c r="L195" s="5" t="b">
        <v>1</v>
      </c>
      <c r="M195" s="5" t="s">
        <v>1944</v>
      </c>
      <c r="N195" s="5" t="b">
        <v>1</v>
      </c>
    </row>
    <row r="196">
      <c r="A196" s="5" t="s">
        <v>2875</v>
      </c>
      <c r="B196" s="5" t="s">
        <v>2876</v>
      </c>
      <c r="C196" s="5" t="s">
        <v>2842</v>
      </c>
      <c r="D196" s="5" t="s">
        <v>2877</v>
      </c>
      <c r="E196" s="5" t="s">
        <v>2300</v>
      </c>
      <c r="F196" s="5" t="s">
        <v>2158</v>
      </c>
      <c r="G196" s="5" t="s">
        <v>1410</v>
      </c>
      <c r="H196" s="5" t="s">
        <v>2878</v>
      </c>
      <c r="I196" s="5" t="s">
        <v>2303</v>
      </c>
      <c r="J196" s="5" t="s">
        <v>1465</v>
      </c>
      <c r="K196" s="5">
        <v>2.0</v>
      </c>
      <c r="L196" s="5" t="b">
        <v>1</v>
      </c>
      <c r="M196" s="5" t="s">
        <v>1944</v>
      </c>
      <c r="N196" s="5" t="b">
        <v>1</v>
      </c>
    </row>
    <row r="197">
      <c r="A197" s="5" t="s">
        <v>2879</v>
      </c>
      <c r="B197" s="5" t="s">
        <v>2880</v>
      </c>
      <c r="C197" s="5" t="s">
        <v>2842</v>
      </c>
      <c r="D197" s="5" t="s">
        <v>2881</v>
      </c>
      <c r="E197" s="5" t="s">
        <v>2300</v>
      </c>
      <c r="F197" s="5" t="s">
        <v>1760</v>
      </c>
      <c r="G197" s="5" t="s">
        <v>1410</v>
      </c>
      <c r="H197" s="5" t="s">
        <v>2882</v>
      </c>
      <c r="I197" s="5" t="s">
        <v>2303</v>
      </c>
      <c r="J197" s="5" t="s">
        <v>1465</v>
      </c>
      <c r="K197" s="5">
        <v>2.0</v>
      </c>
      <c r="L197" s="5" t="b">
        <v>1</v>
      </c>
      <c r="M197" s="5" t="s">
        <v>1944</v>
      </c>
      <c r="N197" s="5" t="b">
        <v>1</v>
      </c>
    </row>
    <row r="198">
      <c r="A198" s="5" t="s">
        <v>2883</v>
      </c>
      <c r="B198" s="5" t="s">
        <v>2884</v>
      </c>
      <c r="C198" s="5" t="s">
        <v>2885</v>
      </c>
      <c r="D198" s="5" t="s">
        <v>2886</v>
      </c>
      <c r="E198" s="5" t="s">
        <v>2300</v>
      </c>
      <c r="F198" s="5" t="s">
        <v>1701</v>
      </c>
      <c r="G198" s="5" t="s">
        <v>1414</v>
      </c>
      <c r="H198" s="5" t="s">
        <v>2887</v>
      </c>
      <c r="I198" s="5" t="s">
        <v>2303</v>
      </c>
      <c r="J198" s="5" t="s">
        <v>1465</v>
      </c>
      <c r="K198" s="5">
        <v>2.0</v>
      </c>
      <c r="L198" s="5" t="b">
        <v>1</v>
      </c>
      <c r="M198" s="5" t="s">
        <v>1944</v>
      </c>
      <c r="N198" s="5" t="b">
        <v>1</v>
      </c>
    </row>
    <row r="199">
      <c r="A199" s="5" t="s">
        <v>2888</v>
      </c>
      <c r="B199" s="5" t="s">
        <v>2889</v>
      </c>
      <c r="C199" s="5" t="s">
        <v>2885</v>
      </c>
      <c r="D199" s="5" t="s">
        <v>2890</v>
      </c>
      <c r="E199" s="5" t="s">
        <v>2300</v>
      </c>
      <c r="F199" s="5">
        <v>7.2</v>
      </c>
      <c r="G199" s="5" t="s">
        <v>1414</v>
      </c>
      <c r="H199" s="5" t="s">
        <v>2891</v>
      </c>
      <c r="I199" s="5" t="s">
        <v>2303</v>
      </c>
      <c r="J199" s="5" t="s">
        <v>1465</v>
      </c>
      <c r="K199" s="5">
        <v>2.0</v>
      </c>
      <c r="L199" s="5" t="b">
        <v>1</v>
      </c>
      <c r="M199" s="5" t="s">
        <v>1944</v>
      </c>
      <c r="N199" s="5" t="b">
        <v>1</v>
      </c>
    </row>
    <row r="200">
      <c r="A200" s="5" t="s">
        <v>2892</v>
      </c>
      <c r="B200" s="5" t="s">
        <v>2893</v>
      </c>
      <c r="C200" s="5" t="s">
        <v>2885</v>
      </c>
      <c r="D200" s="5" t="s">
        <v>2894</v>
      </c>
      <c r="E200" s="5" t="s">
        <v>2300</v>
      </c>
      <c r="F200" s="5" t="s">
        <v>2895</v>
      </c>
      <c r="G200" s="5" t="s">
        <v>1414</v>
      </c>
      <c r="H200" s="5" t="s">
        <v>2896</v>
      </c>
      <c r="I200" s="5" t="s">
        <v>2303</v>
      </c>
      <c r="J200" s="5" t="s">
        <v>1465</v>
      </c>
      <c r="K200" s="5">
        <v>2.0</v>
      </c>
      <c r="L200" s="5" t="b">
        <v>1</v>
      </c>
      <c r="M200" s="5" t="s">
        <v>1944</v>
      </c>
      <c r="N200" s="5" t="b">
        <v>1</v>
      </c>
    </row>
    <row r="201">
      <c r="A201" s="5" t="s">
        <v>2897</v>
      </c>
      <c r="B201" s="5" t="s">
        <v>2898</v>
      </c>
      <c r="C201" s="5" t="s">
        <v>2885</v>
      </c>
      <c r="D201" s="5" t="s">
        <v>2899</v>
      </c>
      <c r="E201" s="5" t="s">
        <v>2300</v>
      </c>
      <c r="F201" s="5" t="s">
        <v>2044</v>
      </c>
      <c r="G201" s="5" t="s">
        <v>1414</v>
      </c>
      <c r="H201" s="5" t="s">
        <v>2900</v>
      </c>
      <c r="I201" s="5" t="s">
        <v>2303</v>
      </c>
      <c r="J201" s="5" t="s">
        <v>1465</v>
      </c>
      <c r="K201" s="5">
        <v>2.0</v>
      </c>
      <c r="L201" s="5" t="b">
        <v>1</v>
      </c>
      <c r="M201" s="5" t="s">
        <v>1944</v>
      </c>
      <c r="N201" s="5" t="b">
        <v>1</v>
      </c>
    </row>
    <row r="202">
      <c r="A202" s="5" t="s">
        <v>2901</v>
      </c>
      <c r="B202" s="5" t="s">
        <v>2902</v>
      </c>
      <c r="C202" s="5" t="s">
        <v>2885</v>
      </c>
      <c r="D202" s="5" t="s">
        <v>2903</v>
      </c>
      <c r="E202" s="5" t="s">
        <v>2300</v>
      </c>
      <c r="F202" s="5" t="s">
        <v>2904</v>
      </c>
      <c r="G202" s="5" t="s">
        <v>1414</v>
      </c>
      <c r="H202" s="5" t="s">
        <v>2905</v>
      </c>
      <c r="I202" s="5" t="s">
        <v>2303</v>
      </c>
      <c r="J202" s="5" t="s">
        <v>1465</v>
      </c>
      <c r="K202" s="5">
        <v>2.0</v>
      </c>
      <c r="L202" s="5" t="b">
        <v>1</v>
      </c>
      <c r="M202" s="5" t="s">
        <v>1944</v>
      </c>
      <c r="N202" s="5" t="b">
        <v>1</v>
      </c>
    </row>
    <row r="203">
      <c r="A203" s="5" t="s">
        <v>2906</v>
      </c>
      <c r="B203" s="5" t="s">
        <v>2907</v>
      </c>
      <c r="C203" s="5" t="s">
        <v>2885</v>
      </c>
      <c r="D203" s="5" t="s">
        <v>2908</v>
      </c>
      <c r="E203" s="5" t="s">
        <v>2300</v>
      </c>
      <c r="F203" s="5" t="s">
        <v>2909</v>
      </c>
      <c r="G203" s="5" t="s">
        <v>1414</v>
      </c>
      <c r="H203" s="5" t="s">
        <v>2910</v>
      </c>
      <c r="I203" s="5" t="s">
        <v>2303</v>
      </c>
      <c r="J203" s="5" t="s">
        <v>1465</v>
      </c>
      <c r="K203" s="5">
        <v>2.0</v>
      </c>
      <c r="L203" s="5" t="b">
        <v>1</v>
      </c>
      <c r="M203" s="5" t="s">
        <v>1944</v>
      </c>
      <c r="N203" s="5" t="b">
        <v>1</v>
      </c>
    </row>
    <row r="204">
      <c r="A204" s="5" t="s">
        <v>2911</v>
      </c>
      <c r="B204" s="5" t="s">
        <v>2912</v>
      </c>
      <c r="C204" s="5" t="s">
        <v>2885</v>
      </c>
      <c r="D204" s="5" t="s">
        <v>2913</v>
      </c>
      <c r="E204" s="5" t="s">
        <v>2300</v>
      </c>
      <c r="F204" s="5" t="s">
        <v>2822</v>
      </c>
      <c r="G204" s="5" t="s">
        <v>1414</v>
      </c>
      <c r="H204" s="5" t="s">
        <v>2914</v>
      </c>
      <c r="I204" s="5" t="s">
        <v>2303</v>
      </c>
      <c r="J204" s="5" t="s">
        <v>1465</v>
      </c>
      <c r="K204" s="5">
        <v>2.0</v>
      </c>
      <c r="L204" s="5" t="b">
        <v>1</v>
      </c>
      <c r="M204" s="5" t="s">
        <v>1944</v>
      </c>
      <c r="N204" s="5" t="b">
        <v>1</v>
      </c>
    </row>
    <row r="205">
      <c r="A205" s="5" t="s">
        <v>2915</v>
      </c>
      <c r="B205" s="5" t="s">
        <v>2916</v>
      </c>
      <c r="C205" s="5" t="s">
        <v>2885</v>
      </c>
      <c r="D205" s="5" t="s">
        <v>2917</v>
      </c>
      <c r="E205" s="5" t="s">
        <v>2300</v>
      </c>
      <c r="F205" s="5" t="s">
        <v>2145</v>
      </c>
      <c r="G205" s="5" t="s">
        <v>1414</v>
      </c>
      <c r="H205" s="5" t="s">
        <v>2918</v>
      </c>
      <c r="I205" s="5" t="s">
        <v>2303</v>
      </c>
      <c r="J205" s="5" t="s">
        <v>1465</v>
      </c>
      <c r="K205" s="5">
        <v>2.0</v>
      </c>
      <c r="L205" s="5" t="b">
        <v>1</v>
      </c>
      <c r="M205" s="5" t="s">
        <v>1944</v>
      </c>
      <c r="N205" s="5" t="b">
        <v>1</v>
      </c>
    </row>
    <row r="206">
      <c r="A206" s="5" t="s">
        <v>2919</v>
      </c>
      <c r="B206" s="5" t="s">
        <v>2920</v>
      </c>
      <c r="C206" s="5" t="s">
        <v>2885</v>
      </c>
      <c r="D206" s="5" t="s">
        <v>2921</v>
      </c>
      <c r="E206" s="5" t="s">
        <v>2300</v>
      </c>
      <c r="F206" s="5" t="s">
        <v>2470</v>
      </c>
      <c r="G206" s="5" t="s">
        <v>1414</v>
      </c>
      <c r="H206" s="5" t="s">
        <v>2922</v>
      </c>
      <c r="I206" s="5" t="s">
        <v>2303</v>
      </c>
      <c r="J206" s="5" t="s">
        <v>1465</v>
      </c>
      <c r="K206" s="5">
        <v>2.0</v>
      </c>
      <c r="L206" s="5" t="b">
        <v>1</v>
      </c>
      <c r="M206" s="5" t="s">
        <v>1944</v>
      </c>
      <c r="N206" s="5" t="b">
        <v>1</v>
      </c>
    </row>
    <row r="207">
      <c r="A207" s="5" t="s">
        <v>2923</v>
      </c>
      <c r="B207" s="5" t="s">
        <v>2924</v>
      </c>
      <c r="C207" s="5" t="s">
        <v>2885</v>
      </c>
      <c r="D207" s="5" t="s">
        <v>2925</v>
      </c>
      <c r="E207" s="5" t="s">
        <v>2300</v>
      </c>
      <c r="F207" s="5" t="s">
        <v>2926</v>
      </c>
      <c r="G207" s="5" t="s">
        <v>1414</v>
      </c>
      <c r="H207" s="5" t="s">
        <v>2927</v>
      </c>
      <c r="I207" s="5" t="s">
        <v>2303</v>
      </c>
      <c r="J207" s="5" t="s">
        <v>1465</v>
      </c>
      <c r="K207" s="5">
        <v>2.0</v>
      </c>
      <c r="L207" s="5" t="b">
        <v>1</v>
      </c>
      <c r="M207" s="5" t="s">
        <v>1944</v>
      </c>
      <c r="N207" s="5" t="b">
        <v>1</v>
      </c>
    </row>
    <row r="208">
      <c r="A208" s="5" t="s">
        <v>2928</v>
      </c>
      <c r="B208" s="5" t="s">
        <v>2929</v>
      </c>
      <c r="C208" s="5" t="s">
        <v>1379</v>
      </c>
      <c r="D208" s="5" t="s">
        <v>2930</v>
      </c>
      <c r="E208" s="5" t="s">
        <v>2300</v>
      </c>
      <c r="F208" s="5" t="s">
        <v>2610</v>
      </c>
      <c r="G208" s="5" t="s">
        <v>1379</v>
      </c>
      <c r="H208" s="5" t="s">
        <v>2931</v>
      </c>
      <c r="I208" s="5" t="s">
        <v>2303</v>
      </c>
      <c r="J208" s="5" t="s">
        <v>1465</v>
      </c>
      <c r="K208" s="5">
        <v>2.0</v>
      </c>
      <c r="L208" s="5" t="b">
        <v>1</v>
      </c>
      <c r="M208" s="5" t="s">
        <v>1944</v>
      </c>
      <c r="N208" s="5" t="b">
        <v>1</v>
      </c>
    </row>
    <row r="209">
      <c r="A209" s="5" t="s">
        <v>2932</v>
      </c>
      <c r="B209" s="5" t="s">
        <v>2933</v>
      </c>
      <c r="C209" s="5" t="s">
        <v>1379</v>
      </c>
      <c r="D209" s="5" t="s">
        <v>2934</v>
      </c>
      <c r="E209" s="5" t="s">
        <v>2300</v>
      </c>
      <c r="F209" s="5" t="s">
        <v>2584</v>
      </c>
      <c r="G209" s="5" t="s">
        <v>1379</v>
      </c>
      <c r="H209" s="5" t="s">
        <v>2935</v>
      </c>
      <c r="I209" s="5" t="s">
        <v>2303</v>
      </c>
      <c r="J209" s="5" t="s">
        <v>1465</v>
      </c>
      <c r="K209" s="5">
        <v>2.0</v>
      </c>
      <c r="L209" s="5" t="b">
        <v>1</v>
      </c>
      <c r="M209" s="5" t="s">
        <v>1944</v>
      </c>
      <c r="N209" s="5" t="b">
        <v>1</v>
      </c>
    </row>
    <row r="210">
      <c r="A210" s="5" t="s">
        <v>2936</v>
      </c>
      <c r="B210" s="5" t="s">
        <v>2937</v>
      </c>
      <c r="C210" s="5" t="s">
        <v>1379</v>
      </c>
      <c r="D210" s="5" t="s">
        <v>2938</v>
      </c>
      <c r="E210" s="5" t="s">
        <v>2300</v>
      </c>
      <c r="F210" s="5">
        <v>5.3</v>
      </c>
      <c r="G210" s="5" t="s">
        <v>1379</v>
      </c>
      <c r="H210" s="5" t="s">
        <v>2910</v>
      </c>
      <c r="I210" s="5" t="s">
        <v>2303</v>
      </c>
      <c r="J210" s="5" t="s">
        <v>1465</v>
      </c>
      <c r="K210" s="5">
        <v>2.0</v>
      </c>
      <c r="L210" s="5" t="b">
        <v>1</v>
      </c>
      <c r="M210" s="5" t="s">
        <v>1944</v>
      </c>
      <c r="N210" s="5" t="b">
        <v>1</v>
      </c>
    </row>
    <row r="211">
      <c r="A211" s="5" t="s">
        <v>2939</v>
      </c>
      <c r="B211" s="5" t="s">
        <v>2940</v>
      </c>
      <c r="C211" s="5" t="s">
        <v>1379</v>
      </c>
      <c r="D211" s="5" t="s">
        <v>2941</v>
      </c>
      <c r="E211" s="5" t="s">
        <v>2300</v>
      </c>
      <c r="F211" s="5" t="s">
        <v>2942</v>
      </c>
      <c r="G211" s="5" t="s">
        <v>1379</v>
      </c>
      <c r="H211" s="5" t="s">
        <v>2943</v>
      </c>
      <c r="I211" s="5" t="s">
        <v>2303</v>
      </c>
      <c r="J211" s="5" t="s">
        <v>1465</v>
      </c>
      <c r="K211" s="5">
        <v>2.0</v>
      </c>
      <c r="L211" s="5" t="b">
        <v>1</v>
      </c>
      <c r="M211" s="5" t="s">
        <v>1944</v>
      </c>
      <c r="N211" s="5" t="b">
        <v>1</v>
      </c>
    </row>
    <row r="212">
      <c r="A212" s="5" t="s">
        <v>2944</v>
      </c>
      <c r="B212" s="5" t="s">
        <v>2945</v>
      </c>
      <c r="C212" s="5" t="s">
        <v>1379</v>
      </c>
      <c r="D212" s="5" t="s">
        <v>2946</v>
      </c>
      <c r="E212" s="5" t="s">
        <v>2300</v>
      </c>
      <c r="F212" s="5" t="s">
        <v>1760</v>
      </c>
      <c r="G212" s="5" t="s">
        <v>1379</v>
      </c>
      <c r="H212" s="5" t="s">
        <v>2947</v>
      </c>
      <c r="I212" s="5" t="s">
        <v>2303</v>
      </c>
      <c r="J212" s="5" t="s">
        <v>1465</v>
      </c>
      <c r="K212" s="5">
        <v>2.0</v>
      </c>
      <c r="L212" s="5" t="b">
        <v>1</v>
      </c>
      <c r="M212" s="5" t="s">
        <v>1944</v>
      </c>
      <c r="N212" s="5" t="b">
        <v>1</v>
      </c>
    </row>
    <row r="213">
      <c r="A213" s="5" t="s">
        <v>2948</v>
      </c>
      <c r="B213" s="5" t="s">
        <v>2949</v>
      </c>
      <c r="C213" s="5" t="s">
        <v>1379</v>
      </c>
      <c r="D213" s="5" t="s">
        <v>2950</v>
      </c>
      <c r="E213" s="5" t="s">
        <v>2300</v>
      </c>
      <c r="F213" s="5" t="s">
        <v>1747</v>
      </c>
      <c r="G213" s="5" t="s">
        <v>1379</v>
      </c>
      <c r="H213" s="5" t="s">
        <v>2951</v>
      </c>
      <c r="I213" s="5" t="s">
        <v>2303</v>
      </c>
      <c r="J213" s="5" t="s">
        <v>1465</v>
      </c>
      <c r="K213" s="5">
        <v>2.0</v>
      </c>
      <c r="L213" s="5" t="b">
        <v>1</v>
      </c>
      <c r="M213" s="5" t="s">
        <v>1944</v>
      </c>
      <c r="N213" s="5" t="b">
        <v>1</v>
      </c>
    </row>
    <row r="214">
      <c r="A214" s="5" t="s">
        <v>2952</v>
      </c>
      <c r="B214" s="5" t="s">
        <v>2953</v>
      </c>
      <c r="C214" s="5" t="s">
        <v>1379</v>
      </c>
      <c r="D214" s="5" t="s">
        <v>2954</v>
      </c>
      <c r="E214" s="5" t="s">
        <v>2300</v>
      </c>
      <c r="F214" s="5">
        <v>8.6</v>
      </c>
      <c r="G214" s="5" t="s">
        <v>1379</v>
      </c>
      <c r="H214" s="5" t="s">
        <v>2955</v>
      </c>
      <c r="I214" s="5" t="s">
        <v>2303</v>
      </c>
      <c r="J214" s="5" t="s">
        <v>1465</v>
      </c>
      <c r="K214" s="5">
        <v>2.0</v>
      </c>
      <c r="L214" s="5" t="b">
        <v>1</v>
      </c>
      <c r="M214" s="5" t="s">
        <v>1944</v>
      </c>
      <c r="N214" s="5" t="b">
        <v>1</v>
      </c>
    </row>
    <row r="215">
      <c r="A215" s="5" t="s">
        <v>2956</v>
      </c>
      <c r="B215" s="5" t="s">
        <v>2957</v>
      </c>
      <c r="C215" s="5" t="s">
        <v>1379</v>
      </c>
      <c r="D215" s="5" t="s">
        <v>2958</v>
      </c>
      <c r="E215" s="5" t="s">
        <v>2300</v>
      </c>
      <c r="F215" s="5" t="s">
        <v>2528</v>
      </c>
      <c r="G215" s="5" t="s">
        <v>1379</v>
      </c>
      <c r="H215" s="5" t="s">
        <v>2959</v>
      </c>
      <c r="I215" s="5" t="s">
        <v>2303</v>
      </c>
      <c r="J215" s="5" t="s">
        <v>1465</v>
      </c>
      <c r="K215" s="5">
        <v>2.0</v>
      </c>
      <c r="L215" s="5" t="b">
        <v>1</v>
      </c>
      <c r="M215" s="5" t="s">
        <v>1944</v>
      </c>
      <c r="N215" s="5" t="b">
        <v>1</v>
      </c>
    </row>
    <row r="216">
      <c r="A216" s="5" t="s">
        <v>2960</v>
      </c>
      <c r="B216" s="5" t="s">
        <v>2961</v>
      </c>
      <c r="C216" s="5" t="s">
        <v>1379</v>
      </c>
      <c r="D216" s="5" t="s">
        <v>2962</v>
      </c>
      <c r="E216" s="5" t="s">
        <v>2300</v>
      </c>
      <c r="F216" s="5" t="s">
        <v>2044</v>
      </c>
      <c r="G216" s="5" t="s">
        <v>1379</v>
      </c>
      <c r="H216" s="5" t="s">
        <v>2963</v>
      </c>
      <c r="I216" s="5" t="s">
        <v>2303</v>
      </c>
      <c r="J216" s="5" t="s">
        <v>1465</v>
      </c>
      <c r="K216" s="5">
        <v>2.0</v>
      </c>
      <c r="L216" s="5" t="b">
        <v>1</v>
      </c>
      <c r="M216" s="5" t="s">
        <v>1944</v>
      </c>
      <c r="N216" s="5" t="b">
        <v>1</v>
      </c>
    </row>
    <row r="217">
      <c r="A217" s="5" t="s">
        <v>2964</v>
      </c>
      <c r="B217" s="5" t="s">
        <v>2965</v>
      </c>
      <c r="C217" s="5" t="s">
        <v>1379</v>
      </c>
      <c r="D217" s="5" t="s">
        <v>2966</v>
      </c>
      <c r="E217" s="5" t="s">
        <v>2300</v>
      </c>
      <c r="F217" s="5">
        <v>10.3</v>
      </c>
      <c r="G217" s="5" t="s">
        <v>1379</v>
      </c>
      <c r="H217" s="5" t="s">
        <v>2967</v>
      </c>
      <c r="I217" s="5" t="s">
        <v>2303</v>
      </c>
      <c r="J217" s="5" t="s">
        <v>1465</v>
      </c>
      <c r="K217" s="5">
        <v>2.0</v>
      </c>
      <c r="L217" s="5" t="b">
        <v>1</v>
      </c>
      <c r="M217" s="5" t="s">
        <v>1944</v>
      </c>
      <c r="N217" s="5" t="b">
        <v>1</v>
      </c>
    </row>
    <row r="218">
      <c r="A218" s="5" t="s">
        <v>2968</v>
      </c>
      <c r="B218" s="5" t="s">
        <v>2969</v>
      </c>
      <c r="C218" s="5" t="s">
        <v>1383</v>
      </c>
      <c r="D218" s="5" t="s">
        <v>2970</v>
      </c>
      <c r="E218" s="5" t="s">
        <v>2300</v>
      </c>
      <c r="F218" s="5">
        <v>7.5</v>
      </c>
      <c r="G218" s="5" t="s">
        <v>1383</v>
      </c>
      <c r="H218" s="5" t="s">
        <v>2971</v>
      </c>
      <c r="I218" s="5" t="s">
        <v>2303</v>
      </c>
      <c r="J218" s="5" t="s">
        <v>1452</v>
      </c>
      <c r="K218" s="5">
        <v>3.0</v>
      </c>
      <c r="L218" s="5" t="b">
        <v>1</v>
      </c>
      <c r="M218" s="5" t="s">
        <v>1944</v>
      </c>
      <c r="N218" s="5" t="b">
        <v>1</v>
      </c>
    </row>
    <row r="219">
      <c r="A219" s="5" t="s">
        <v>2972</v>
      </c>
      <c r="B219" s="5" t="s">
        <v>2973</v>
      </c>
      <c r="C219" s="5" t="s">
        <v>1383</v>
      </c>
      <c r="D219" s="5" t="s">
        <v>2974</v>
      </c>
      <c r="E219" s="5" t="s">
        <v>2300</v>
      </c>
      <c r="F219" s="5" t="s">
        <v>2975</v>
      </c>
      <c r="G219" s="5" t="s">
        <v>1383</v>
      </c>
      <c r="H219" s="5" t="s">
        <v>2976</v>
      </c>
      <c r="I219" s="5" t="s">
        <v>2303</v>
      </c>
      <c r="J219" s="5" t="s">
        <v>1452</v>
      </c>
      <c r="K219" s="5">
        <v>3.0</v>
      </c>
      <c r="L219" s="5" t="b">
        <v>1</v>
      </c>
      <c r="M219" s="5" t="s">
        <v>1944</v>
      </c>
      <c r="N219" s="5" t="b">
        <v>1</v>
      </c>
    </row>
    <row r="220">
      <c r="A220" s="5" t="s">
        <v>2977</v>
      </c>
      <c r="B220" s="5" t="s">
        <v>2978</v>
      </c>
      <c r="C220" s="5" t="s">
        <v>1383</v>
      </c>
      <c r="D220" s="5" t="s">
        <v>2979</v>
      </c>
      <c r="E220" s="5" t="s">
        <v>2300</v>
      </c>
      <c r="F220" s="5" t="s">
        <v>2980</v>
      </c>
      <c r="G220" s="5" t="s">
        <v>1383</v>
      </c>
      <c r="H220" s="5" t="s">
        <v>2981</v>
      </c>
      <c r="I220" s="5" t="s">
        <v>2303</v>
      </c>
      <c r="J220" s="5" t="s">
        <v>1452</v>
      </c>
      <c r="K220" s="5">
        <v>3.0</v>
      </c>
      <c r="L220" s="5" t="b">
        <v>1</v>
      </c>
      <c r="M220" s="5" t="s">
        <v>1944</v>
      </c>
      <c r="N220" s="5" t="b">
        <v>1</v>
      </c>
    </row>
    <row r="221">
      <c r="A221" s="5" t="s">
        <v>2982</v>
      </c>
      <c r="B221" s="5" t="s">
        <v>2983</v>
      </c>
      <c r="C221" s="5" t="s">
        <v>1383</v>
      </c>
      <c r="D221" s="5" t="s">
        <v>2984</v>
      </c>
      <c r="E221" s="5" t="s">
        <v>2300</v>
      </c>
      <c r="F221" s="5" t="s">
        <v>2985</v>
      </c>
      <c r="G221" s="5" t="s">
        <v>1383</v>
      </c>
      <c r="H221" s="5" t="s">
        <v>2986</v>
      </c>
      <c r="I221" s="5" t="s">
        <v>2303</v>
      </c>
      <c r="J221" s="5" t="s">
        <v>1452</v>
      </c>
      <c r="K221" s="5">
        <v>3.0</v>
      </c>
      <c r="L221" s="5" t="b">
        <v>1</v>
      </c>
      <c r="M221" s="5" t="s">
        <v>1944</v>
      </c>
      <c r="N221" s="5" t="b">
        <v>1</v>
      </c>
    </row>
    <row r="222">
      <c r="A222" s="5" t="s">
        <v>2987</v>
      </c>
      <c r="B222" s="5" t="s">
        <v>2988</v>
      </c>
      <c r="C222" s="5" t="s">
        <v>1383</v>
      </c>
      <c r="D222" s="5" t="s">
        <v>2989</v>
      </c>
      <c r="E222" s="5" t="s">
        <v>2300</v>
      </c>
      <c r="F222" s="5" t="s">
        <v>2990</v>
      </c>
      <c r="G222" s="5" t="s">
        <v>1383</v>
      </c>
      <c r="H222" s="5" t="s">
        <v>2991</v>
      </c>
      <c r="I222" s="5" t="s">
        <v>2303</v>
      </c>
      <c r="J222" s="5" t="s">
        <v>1452</v>
      </c>
      <c r="K222" s="5">
        <v>3.0</v>
      </c>
      <c r="L222" s="5" t="b">
        <v>1</v>
      </c>
      <c r="M222" s="5" t="s">
        <v>1944</v>
      </c>
      <c r="N222" s="5" t="b">
        <v>1</v>
      </c>
    </row>
    <row r="223">
      <c r="A223" s="5" t="s">
        <v>2992</v>
      </c>
      <c r="B223" s="5" t="s">
        <v>2993</v>
      </c>
      <c r="C223" s="5" t="s">
        <v>1383</v>
      </c>
      <c r="D223" s="5" t="s">
        <v>2994</v>
      </c>
      <c r="E223" s="5" t="s">
        <v>2300</v>
      </c>
      <c r="F223" s="5" t="s">
        <v>2985</v>
      </c>
      <c r="G223" s="5" t="s">
        <v>1383</v>
      </c>
      <c r="H223" s="5" t="s">
        <v>2620</v>
      </c>
      <c r="I223" s="5" t="s">
        <v>2303</v>
      </c>
      <c r="J223" s="5" t="s">
        <v>1452</v>
      </c>
      <c r="K223" s="5">
        <v>3.0</v>
      </c>
      <c r="L223" s="5" t="b">
        <v>1</v>
      </c>
      <c r="M223" s="5" t="s">
        <v>1944</v>
      </c>
      <c r="N223" s="5" t="b">
        <v>1</v>
      </c>
    </row>
    <row r="224">
      <c r="A224" s="5" t="s">
        <v>2995</v>
      </c>
      <c r="B224" s="5" t="s">
        <v>2996</v>
      </c>
      <c r="C224" s="5" t="s">
        <v>1383</v>
      </c>
      <c r="D224" s="5" t="s">
        <v>2997</v>
      </c>
      <c r="E224" s="5" t="s">
        <v>2300</v>
      </c>
      <c r="F224" s="5">
        <v>9.2</v>
      </c>
      <c r="G224" s="5" t="s">
        <v>1383</v>
      </c>
      <c r="H224" s="5" t="s">
        <v>2998</v>
      </c>
      <c r="I224" s="5" t="s">
        <v>2303</v>
      </c>
      <c r="J224" s="5" t="s">
        <v>1452</v>
      </c>
      <c r="K224" s="5">
        <v>3.0</v>
      </c>
      <c r="L224" s="5" t="b">
        <v>1</v>
      </c>
      <c r="M224" s="5" t="s">
        <v>1944</v>
      </c>
      <c r="N224" s="5" t="b">
        <v>1</v>
      </c>
    </row>
    <row r="225">
      <c r="A225" s="5" t="s">
        <v>2999</v>
      </c>
      <c r="B225" s="5" t="s">
        <v>3000</v>
      </c>
      <c r="C225" s="5" t="s">
        <v>1383</v>
      </c>
      <c r="D225" s="5" t="s">
        <v>3001</v>
      </c>
      <c r="E225" s="5" t="s">
        <v>2300</v>
      </c>
      <c r="F225" s="5">
        <v>9.2</v>
      </c>
      <c r="G225" s="5" t="s">
        <v>1383</v>
      </c>
      <c r="H225" s="5" t="s">
        <v>3002</v>
      </c>
      <c r="I225" s="5" t="s">
        <v>2303</v>
      </c>
      <c r="J225" s="5" t="s">
        <v>1452</v>
      </c>
      <c r="K225" s="5">
        <v>3.0</v>
      </c>
      <c r="L225" s="5" t="b">
        <v>1</v>
      </c>
      <c r="M225" s="5" t="s">
        <v>1944</v>
      </c>
      <c r="N225" s="5" t="b">
        <v>1</v>
      </c>
    </row>
    <row r="226">
      <c r="A226" s="5" t="s">
        <v>3003</v>
      </c>
      <c r="B226" s="5" t="s">
        <v>3004</v>
      </c>
      <c r="C226" s="5" t="s">
        <v>1383</v>
      </c>
      <c r="D226" s="5" t="s">
        <v>3005</v>
      </c>
      <c r="E226" s="5" t="s">
        <v>2300</v>
      </c>
      <c r="F226" s="5">
        <v>10.2</v>
      </c>
      <c r="G226" s="5" t="s">
        <v>1383</v>
      </c>
      <c r="H226" s="5" t="s">
        <v>3006</v>
      </c>
      <c r="I226" s="5" t="s">
        <v>2303</v>
      </c>
      <c r="J226" s="5" t="s">
        <v>1452</v>
      </c>
      <c r="K226" s="5">
        <v>3.0</v>
      </c>
      <c r="L226" s="5" t="b">
        <v>1</v>
      </c>
      <c r="M226" s="5" t="s">
        <v>1944</v>
      </c>
      <c r="N226" s="5" t="b">
        <v>1</v>
      </c>
    </row>
    <row r="227">
      <c r="A227" s="5" t="s">
        <v>3007</v>
      </c>
      <c r="B227" s="5" t="s">
        <v>3008</v>
      </c>
      <c r="C227" s="5" t="s">
        <v>1383</v>
      </c>
      <c r="D227" s="5" t="s">
        <v>3009</v>
      </c>
      <c r="E227" s="5" t="s">
        <v>2300</v>
      </c>
      <c r="F227" s="5" t="s">
        <v>2158</v>
      </c>
      <c r="G227" s="5" t="s">
        <v>1383</v>
      </c>
      <c r="H227" s="5" t="s">
        <v>3010</v>
      </c>
      <c r="I227" s="5" t="s">
        <v>2303</v>
      </c>
      <c r="J227" s="5" t="s">
        <v>1452</v>
      </c>
      <c r="K227" s="5">
        <v>3.0</v>
      </c>
      <c r="L227" s="5" t="b">
        <v>1</v>
      </c>
      <c r="M227" s="5" t="s">
        <v>1944</v>
      </c>
      <c r="N227" s="5" t="b">
        <v>1</v>
      </c>
    </row>
    <row r="228">
      <c r="A228" s="5" t="s">
        <v>3011</v>
      </c>
      <c r="B228" s="5" t="s">
        <v>3012</v>
      </c>
      <c r="C228" s="5" t="s">
        <v>1383</v>
      </c>
      <c r="D228" s="5" t="s">
        <v>3013</v>
      </c>
      <c r="E228" s="5" t="s">
        <v>2300</v>
      </c>
      <c r="F228" s="5">
        <v>9.3</v>
      </c>
      <c r="G228" s="5" t="s">
        <v>1383</v>
      </c>
      <c r="H228" s="5" t="s">
        <v>2315</v>
      </c>
      <c r="I228" s="5" t="s">
        <v>2303</v>
      </c>
      <c r="J228" s="5" t="s">
        <v>1452</v>
      </c>
      <c r="K228" s="5">
        <v>3.0</v>
      </c>
      <c r="L228" s="5" t="b">
        <v>1</v>
      </c>
      <c r="M228" s="5" t="s">
        <v>1944</v>
      </c>
      <c r="N228" s="5" t="b">
        <v>1</v>
      </c>
    </row>
    <row r="229">
      <c r="A229" s="5" t="s">
        <v>3014</v>
      </c>
      <c r="B229" s="5" t="s">
        <v>3015</v>
      </c>
      <c r="C229" s="5" t="s">
        <v>1383</v>
      </c>
      <c r="D229" s="5" t="s">
        <v>3016</v>
      </c>
      <c r="E229" s="5" t="s">
        <v>2300</v>
      </c>
      <c r="F229" s="5" t="s">
        <v>2158</v>
      </c>
      <c r="G229" s="5" t="s">
        <v>1383</v>
      </c>
      <c r="H229" s="5" t="s">
        <v>3017</v>
      </c>
      <c r="I229" s="5" t="s">
        <v>2303</v>
      </c>
      <c r="J229" s="5" t="s">
        <v>1452</v>
      </c>
      <c r="K229" s="5">
        <v>3.0</v>
      </c>
      <c r="L229" s="5" t="b">
        <v>1</v>
      </c>
      <c r="M229" s="5" t="s">
        <v>1944</v>
      </c>
      <c r="N229" s="5" t="b">
        <v>1</v>
      </c>
    </row>
    <row r="230">
      <c r="A230" s="5" t="s">
        <v>3018</v>
      </c>
      <c r="B230" s="5" t="s">
        <v>3019</v>
      </c>
      <c r="C230" s="5" t="s">
        <v>3020</v>
      </c>
      <c r="D230" s="5" t="s">
        <v>3021</v>
      </c>
      <c r="E230" s="5" t="s">
        <v>2300</v>
      </c>
      <c r="F230" s="5">
        <v>5.3</v>
      </c>
      <c r="G230" s="5" t="s">
        <v>1420</v>
      </c>
      <c r="H230" s="5" t="s">
        <v>3022</v>
      </c>
      <c r="I230" s="5" t="s">
        <v>2303</v>
      </c>
      <c r="J230" s="5" t="s">
        <v>1465</v>
      </c>
      <c r="K230" s="5">
        <v>2.0</v>
      </c>
      <c r="L230" s="5" t="b">
        <v>1</v>
      </c>
      <c r="M230" s="5" t="s">
        <v>1944</v>
      </c>
      <c r="N230" s="5" t="b">
        <v>1</v>
      </c>
    </row>
    <row r="231">
      <c r="A231" s="5" t="s">
        <v>3023</v>
      </c>
      <c r="B231" s="5" t="s">
        <v>3024</v>
      </c>
      <c r="C231" s="5" t="s">
        <v>3020</v>
      </c>
      <c r="D231" s="5" t="s">
        <v>3025</v>
      </c>
      <c r="E231" s="5" t="s">
        <v>2300</v>
      </c>
      <c r="F231" s="5" t="s">
        <v>1649</v>
      </c>
      <c r="G231" s="5" t="s">
        <v>1420</v>
      </c>
      <c r="H231" s="5" t="s">
        <v>2611</v>
      </c>
      <c r="I231" s="5" t="s">
        <v>2303</v>
      </c>
      <c r="J231" s="5" t="s">
        <v>1465</v>
      </c>
      <c r="K231" s="5">
        <v>2.0</v>
      </c>
      <c r="L231" s="5" t="b">
        <v>1</v>
      </c>
      <c r="M231" s="5" t="s">
        <v>1944</v>
      </c>
      <c r="N231" s="5" t="b">
        <v>1</v>
      </c>
    </row>
    <row r="232">
      <c r="A232" s="5" t="s">
        <v>3026</v>
      </c>
      <c r="B232" s="5" t="s">
        <v>3027</v>
      </c>
      <c r="C232" s="5" t="s">
        <v>3020</v>
      </c>
      <c r="D232" s="5" t="s">
        <v>3028</v>
      </c>
      <c r="E232" s="5" t="s">
        <v>2300</v>
      </c>
      <c r="F232" s="5" t="s">
        <v>3029</v>
      </c>
      <c r="G232" s="5" t="s">
        <v>1420</v>
      </c>
      <c r="H232" s="5" t="s">
        <v>3030</v>
      </c>
      <c r="I232" s="5" t="s">
        <v>2303</v>
      </c>
      <c r="J232" s="5" t="s">
        <v>1465</v>
      </c>
      <c r="K232" s="5">
        <v>2.0</v>
      </c>
      <c r="L232" s="5" t="b">
        <v>1</v>
      </c>
      <c r="M232" s="5" t="s">
        <v>1944</v>
      </c>
      <c r="N232" s="5" t="b">
        <v>1</v>
      </c>
    </row>
    <row r="233">
      <c r="A233" s="5" t="s">
        <v>3031</v>
      </c>
      <c r="B233" s="5" t="s">
        <v>3032</v>
      </c>
      <c r="C233" s="5" t="s">
        <v>3020</v>
      </c>
      <c r="D233" s="5" t="s">
        <v>3033</v>
      </c>
      <c r="E233" s="5" t="s">
        <v>2300</v>
      </c>
      <c r="F233" s="5" t="s">
        <v>2748</v>
      </c>
      <c r="G233" s="5" t="s">
        <v>1420</v>
      </c>
      <c r="H233" s="5" t="s">
        <v>3034</v>
      </c>
      <c r="I233" s="5" t="s">
        <v>2303</v>
      </c>
      <c r="J233" s="5" t="s">
        <v>1465</v>
      </c>
      <c r="K233" s="5">
        <v>2.0</v>
      </c>
      <c r="L233" s="5" t="b">
        <v>1</v>
      </c>
      <c r="M233" s="5" t="s">
        <v>1944</v>
      </c>
      <c r="N233" s="5" t="b">
        <v>1</v>
      </c>
    </row>
    <row r="234">
      <c r="A234" s="5" t="s">
        <v>3035</v>
      </c>
      <c r="B234" s="5" t="s">
        <v>3036</v>
      </c>
      <c r="C234" s="5" t="s">
        <v>3020</v>
      </c>
      <c r="D234" s="5" t="s">
        <v>3037</v>
      </c>
      <c r="E234" s="5" t="s">
        <v>2300</v>
      </c>
      <c r="F234" s="5" t="s">
        <v>1659</v>
      </c>
      <c r="G234" s="5" t="s">
        <v>1420</v>
      </c>
      <c r="H234" s="5" t="s">
        <v>3038</v>
      </c>
      <c r="I234" s="5" t="s">
        <v>2303</v>
      </c>
      <c r="J234" s="5" t="s">
        <v>1465</v>
      </c>
      <c r="K234" s="5">
        <v>2.0</v>
      </c>
      <c r="L234" s="5" t="b">
        <v>1</v>
      </c>
      <c r="M234" s="5" t="s">
        <v>1944</v>
      </c>
      <c r="N234" s="5" t="b">
        <v>1</v>
      </c>
    </row>
    <row r="235">
      <c r="A235" s="5" t="s">
        <v>3039</v>
      </c>
      <c r="B235" s="5" t="s">
        <v>3040</v>
      </c>
      <c r="C235" s="5" t="s">
        <v>3020</v>
      </c>
      <c r="D235" s="5" t="s">
        <v>3041</v>
      </c>
      <c r="E235" s="5" t="s">
        <v>2300</v>
      </c>
      <c r="F235" s="5" t="s">
        <v>3042</v>
      </c>
      <c r="G235" s="5" t="s">
        <v>1420</v>
      </c>
      <c r="H235" s="5" t="s">
        <v>2460</v>
      </c>
      <c r="I235" s="5" t="s">
        <v>2303</v>
      </c>
      <c r="J235" s="5" t="s">
        <v>1465</v>
      </c>
      <c r="K235" s="5">
        <v>2.0</v>
      </c>
      <c r="L235" s="5" t="b">
        <v>1</v>
      </c>
      <c r="M235" s="5" t="s">
        <v>1944</v>
      </c>
      <c r="N235" s="5" t="b">
        <v>1</v>
      </c>
    </row>
    <row r="236">
      <c r="A236" s="5" t="s">
        <v>3043</v>
      </c>
      <c r="B236" s="5" t="s">
        <v>3044</v>
      </c>
      <c r="C236" s="5" t="s">
        <v>3020</v>
      </c>
      <c r="D236" s="5" t="s">
        <v>3045</v>
      </c>
      <c r="E236" s="5" t="s">
        <v>2300</v>
      </c>
      <c r="F236" s="5" t="s">
        <v>3042</v>
      </c>
      <c r="G236" s="5" t="s">
        <v>1420</v>
      </c>
      <c r="H236" s="5" t="s">
        <v>3046</v>
      </c>
      <c r="I236" s="5" t="s">
        <v>2303</v>
      </c>
      <c r="J236" s="5" t="s">
        <v>1465</v>
      </c>
      <c r="K236" s="5">
        <v>2.0</v>
      </c>
      <c r="L236" s="5" t="b">
        <v>1</v>
      </c>
      <c r="M236" s="5" t="s">
        <v>1944</v>
      </c>
      <c r="N236" s="5" t="b">
        <v>1</v>
      </c>
    </row>
    <row r="237">
      <c r="A237" s="5" t="s">
        <v>3047</v>
      </c>
      <c r="B237" s="5" t="s">
        <v>3048</v>
      </c>
      <c r="C237" s="5" t="s">
        <v>3020</v>
      </c>
      <c r="D237" s="5" t="s">
        <v>3049</v>
      </c>
      <c r="E237" s="5" t="s">
        <v>2300</v>
      </c>
      <c r="F237" s="5" t="s">
        <v>2528</v>
      </c>
      <c r="G237" s="5" t="s">
        <v>1420</v>
      </c>
      <c r="H237" s="5" t="s">
        <v>2692</v>
      </c>
      <c r="I237" s="5" t="s">
        <v>2303</v>
      </c>
      <c r="J237" s="5" t="s">
        <v>1465</v>
      </c>
      <c r="K237" s="5">
        <v>2.0</v>
      </c>
      <c r="L237" s="5" t="b">
        <v>1</v>
      </c>
      <c r="M237" s="5" t="s">
        <v>1944</v>
      </c>
      <c r="N237" s="5" t="b">
        <v>1</v>
      </c>
    </row>
    <row r="238">
      <c r="A238" s="5" t="s">
        <v>3050</v>
      </c>
      <c r="B238" s="5" t="s">
        <v>3051</v>
      </c>
      <c r="C238" s="5" t="s">
        <v>3020</v>
      </c>
      <c r="D238" s="5" t="s">
        <v>3052</v>
      </c>
      <c r="E238" s="5" t="s">
        <v>2300</v>
      </c>
      <c r="F238" s="5" t="s">
        <v>3053</v>
      </c>
      <c r="G238" s="5" t="s">
        <v>1420</v>
      </c>
      <c r="H238" s="5" t="s">
        <v>3054</v>
      </c>
      <c r="I238" s="5" t="s">
        <v>2303</v>
      </c>
      <c r="J238" s="5" t="s">
        <v>1465</v>
      </c>
      <c r="K238" s="5">
        <v>2.0</v>
      </c>
      <c r="L238" s="5" t="b">
        <v>1</v>
      </c>
      <c r="M238" s="5" t="s">
        <v>1944</v>
      </c>
      <c r="N238" s="5" t="b">
        <v>1</v>
      </c>
    </row>
    <row r="239">
      <c r="A239" s="5" t="s">
        <v>3055</v>
      </c>
      <c r="B239" s="5" t="s">
        <v>3056</v>
      </c>
      <c r="C239" s="5" t="s">
        <v>3020</v>
      </c>
      <c r="D239" s="5" t="s">
        <v>3057</v>
      </c>
      <c r="E239" s="5" t="s">
        <v>2300</v>
      </c>
      <c r="F239" s="5" t="s">
        <v>3058</v>
      </c>
      <c r="G239" s="5" t="s">
        <v>1420</v>
      </c>
      <c r="H239" s="5" t="s">
        <v>3059</v>
      </c>
      <c r="I239" s="5" t="s">
        <v>2303</v>
      </c>
      <c r="J239" s="5" t="s">
        <v>1465</v>
      </c>
      <c r="K239" s="5">
        <v>2.0</v>
      </c>
      <c r="L239" s="5" t="b">
        <v>1</v>
      </c>
      <c r="M239" s="5" t="s">
        <v>1944</v>
      </c>
      <c r="N239" s="5" t="b">
        <v>1</v>
      </c>
    </row>
    <row r="240">
      <c r="A240" s="5" t="s">
        <v>3060</v>
      </c>
      <c r="B240" s="5" t="s">
        <v>3061</v>
      </c>
      <c r="C240" s="5" t="s">
        <v>1387</v>
      </c>
      <c r="D240" s="5" t="s">
        <v>3062</v>
      </c>
      <c r="E240" s="5" t="s">
        <v>2300</v>
      </c>
      <c r="F240" s="5" t="s">
        <v>3063</v>
      </c>
      <c r="G240" s="5" t="s">
        <v>1387</v>
      </c>
      <c r="H240" s="5" t="s">
        <v>3064</v>
      </c>
      <c r="I240" s="5" t="s">
        <v>2303</v>
      </c>
      <c r="J240" s="5" t="s">
        <v>1452</v>
      </c>
      <c r="K240" s="5">
        <v>3.0</v>
      </c>
      <c r="L240" s="5" t="b">
        <v>1</v>
      </c>
      <c r="M240" s="5" t="s">
        <v>1944</v>
      </c>
      <c r="N240" s="5" t="b">
        <v>1</v>
      </c>
    </row>
    <row r="241">
      <c r="A241" s="5" t="s">
        <v>3065</v>
      </c>
      <c r="B241" s="5" t="s">
        <v>3066</v>
      </c>
      <c r="C241" s="5" t="s">
        <v>1387</v>
      </c>
      <c r="D241" s="5" t="s">
        <v>3067</v>
      </c>
      <c r="E241" s="5" t="s">
        <v>2300</v>
      </c>
      <c r="F241" s="5">
        <v>9.2</v>
      </c>
      <c r="G241" s="5" t="s">
        <v>1387</v>
      </c>
      <c r="H241" s="5" t="s">
        <v>3068</v>
      </c>
      <c r="I241" s="5" t="s">
        <v>2303</v>
      </c>
      <c r="J241" s="5" t="s">
        <v>1452</v>
      </c>
      <c r="K241" s="5">
        <v>3.0</v>
      </c>
      <c r="L241" s="5" t="b">
        <v>1</v>
      </c>
      <c r="M241" s="5" t="s">
        <v>1944</v>
      </c>
      <c r="N241" s="5" t="b">
        <v>1</v>
      </c>
    </row>
    <row r="242">
      <c r="A242" s="5" t="s">
        <v>3069</v>
      </c>
      <c r="B242" s="5" t="s">
        <v>3070</v>
      </c>
      <c r="C242" s="5" t="s">
        <v>1387</v>
      </c>
      <c r="D242" s="5" t="s">
        <v>3071</v>
      </c>
      <c r="E242" s="5" t="s">
        <v>2300</v>
      </c>
      <c r="F242" s="5">
        <v>9.2</v>
      </c>
      <c r="G242" s="5" t="s">
        <v>1387</v>
      </c>
      <c r="H242" s="5" t="s">
        <v>3072</v>
      </c>
      <c r="I242" s="5" t="s">
        <v>2303</v>
      </c>
      <c r="J242" s="5" t="s">
        <v>1452</v>
      </c>
      <c r="K242" s="5">
        <v>3.0</v>
      </c>
      <c r="L242" s="5" t="b">
        <v>1</v>
      </c>
      <c r="M242" s="5" t="s">
        <v>1944</v>
      </c>
      <c r="N242" s="5" t="b">
        <v>1</v>
      </c>
    </row>
    <row r="243">
      <c r="A243" s="5" t="s">
        <v>3073</v>
      </c>
      <c r="B243" s="5" t="s">
        <v>3074</v>
      </c>
      <c r="C243" s="5" t="s">
        <v>1387</v>
      </c>
      <c r="D243" s="5" t="s">
        <v>3075</v>
      </c>
      <c r="E243" s="5" t="s">
        <v>2300</v>
      </c>
      <c r="F243" s="5" t="s">
        <v>3076</v>
      </c>
      <c r="G243" s="5" t="s">
        <v>1387</v>
      </c>
      <c r="H243" s="5" t="s">
        <v>3077</v>
      </c>
      <c r="I243" s="5" t="s">
        <v>2303</v>
      </c>
      <c r="J243" s="5" t="s">
        <v>1452</v>
      </c>
      <c r="K243" s="5">
        <v>3.0</v>
      </c>
      <c r="L243" s="5" t="b">
        <v>1</v>
      </c>
      <c r="M243" s="5" t="s">
        <v>1944</v>
      </c>
      <c r="N243" s="5" t="b">
        <v>1</v>
      </c>
    </row>
    <row r="244">
      <c r="A244" s="5" t="s">
        <v>3078</v>
      </c>
      <c r="B244" s="5" t="s">
        <v>3079</v>
      </c>
      <c r="C244" s="5" t="s">
        <v>1387</v>
      </c>
      <c r="D244" s="5" t="s">
        <v>3080</v>
      </c>
      <c r="E244" s="5" t="s">
        <v>2300</v>
      </c>
      <c r="F244" s="5">
        <v>9.2</v>
      </c>
      <c r="G244" s="5" t="s">
        <v>1387</v>
      </c>
      <c r="H244" s="5" t="s">
        <v>3081</v>
      </c>
      <c r="I244" s="5" t="s">
        <v>2303</v>
      </c>
      <c r="J244" s="5" t="s">
        <v>1452</v>
      </c>
      <c r="K244" s="5">
        <v>3.0</v>
      </c>
      <c r="L244" s="5" t="b">
        <v>1</v>
      </c>
      <c r="M244" s="5" t="s">
        <v>1944</v>
      </c>
      <c r="N244" s="5" t="b">
        <v>1</v>
      </c>
    </row>
    <row r="245">
      <c r="A245" s="5" t="s">
        <v>3082</v>
      </c>
      <c r="B245" s="5" t="s">
        <v>3083</v>
      </c>
      <c r="C245" s="5" t="s">
        <v>1387</v>
      </c>
      <c r="D245" s="5" t="s">
        <v>3084</v>
      </c>
      <c r="E245" s="5" t="s">
        <v>2300</v>
      </c>
      <c r="F245" s="5" t="s">
        <v>3085</v>
      </c>
      <c r="G245" s="5" t="s">
        <v>1387</v>
      </c>
      <c r="H245" s="5" t="s">
        <v>2620</v>
      </c>
      <c r="I245" s="5" t="s">
        <v>2303</v>
      </c>
      <c r="J245" s="5" t="s">
        <v>1452</v>
      </c>
      <c r="K245" s="5">
        <v>3.0</v>
      </c>
      <c r="L245" s="5" t="b">
        <v>1</v>
      </c>
      <c r="M245" s="5" t="s">
        <v>1944</v>
      </c>
      <c r="N245" s="5" t="b">
        <v>1</v>
      </c>
    </row>
    <row r="246">
      <c r="A246" s="5" t="s">
        <v>3086</v>
      </c>
      <c r="B246" s="5" t="s">
        <v>3087</v>
      </c>
      <c r="C246" s="5" t="s">
        <v>1387</v>
      </c>
      <c r="D246" s="5" t="s">
        <v>3088</v>
      </c>
      <c r="E246" s="5" t="s">
        <v>2300</v>
      </c>
      <c r="F246" s="5" t="s">
        <v>3089</v>
      </c>
      <c r="G246" s="5" t="s">
        <v>1387</v>
      </c>
      <c r="H246" s="5" t="s">
        <v>3090</v>
      </c>
      <c r="I246" s="5" t="s">
        <v>2303</v>
      </c>
      <c r="J246" s="5" t="s">
        <v>1452</v>
      </c>
      <c r="K246" s="5">
        <v>3.0</v>
      </c>
      <c r="L246" s="5" t="b">
        <v>1</v>
      </c>
      <c r="M246" s="5" t="s">
        <v>1944</v>
      </c>
      <c r="N246" s="5" t="b">
        <v>1</v>
      </c>
    </row>
    <row r="247">
      <c r="A247" s="5" t="s">
        <v>3091</v>
      </c>
      <c r="B247" s="5" t="s">
        <v>3092</v>
      </c>
      <c r="C247" s="5" t="s">
        <v>1387</v>
      </c>
      <c r="D247" s="5" t="s">
        <v>3093</v>
      </c>
      <c r="E247" s="5" t="s">
        <v>2300</v>
      </c>
      <c r="F247" s="5">
        <v>10.2</v>
      </c>
      <c r="G247" s="5" t="s">
        <v>1387</v>
      </c>
      <c r="H247" s="5" t="s">
        <v>3094</v>
      </c>
      <c r="I247" s="5" t="s">
        <v>2303</v>
      </c>
      <c r="J247" s="5" t="s">
        <v>1452</v>
      </c>
      <c r="K247" s="5">
        <v>3.0</v>
      </c>
      <c r="L247" s="5" t="b">
        <v>1</v>
      </c>
      <c r="M247" s="5" t="s">
        <v>1944</v>
      </c>
      <c r="N247" s="5" t="b">
        <v>1</v>
      </c>
    </row>
    <row r="248">
      <c r="A248" s="5" t="s">
        <v>3095</v>
      </c>
      <c r="B248" s="5" t="s">
        <v>3096</v>
      </c>
      <c r="C248" s="5" t="s">
        <v>1387</v>
      </c>
      <c r="D248" s="5" t="s">
        <v>3097</v>
      </c>
      <c r="E248" s="5" t="s">
        <v>2300</v>
      </c>
      <c r="F248" s="5">
        <v>10.2</v>
      </c>
      <c r="G248" s="5" t="s">
        <v>1387</v>
      </c>
      <c r="H248" s="5" t="s">
        <v>3098</v>
      </c>
      <c r="I248" s="5" t="s">
        <v>2303</v>
      </c>
      <c r="J248" s="5" t="s">
        <v>1452</v>
      </c>
      <c r="K248" s="5">
        <v>3.0</v>
      </c>
      <c r="L248" s="5" t="b">
        <v>1</v>
      </c>
      <c r="M248" s="5" t="s">
        <v>1944</v>
      </c>
      <c r="N248" s="5" t="b">
        <v>1</v>
      </c>
    </row>
    <row r="249">
      <c r="A249" s="5" t="s">
        <v>3099</v>
      </c>
      <c r="B249" s="5" t="s">
        <v>3100</v>
      </c>
      <c r="C249" s="5" t="s">
        <v>1387</v>
      </c>
      <c r="D249" s="5" t="s">
        <v>3101</v>
      </c>
      <c r="E249" s="5" t="s">
        <v>2300</v>
      </c>
      <c r="F249" s="5" t="s">
        <v>3102</v>
      </c>
      <c r="G249" s="5" t="s">
        <v>1387</v>
      </c>
      <c r="H249" s="5" t="s">
        <v>3010</v>
      </c>
      <c r="I249" s="5" t="s">
        <v>2303</v>
      </c>
      <c r="J249" s="5" t="s">
        <v>1452</v>
      </c>
      <c r="K249" s="5">
        <v>3.0</v>
      </c>
      <c r="L249" s="5" t="b">
        <v>1</v>
      </c>
      <c r="M249" s="5" t="s">
        <v>1944</v>
      </c>
      <c r="N249" s="5" t="b">
        <v>1</v>
      </c>
    </row>
    <row r="250">
      <c r="A250" s="5" t="s">
        <v>3103</v>
      </c>
      <c r="B250" s="5" t="s">
        <v>3104</v>
      </c>
      <c r="C250" s="5" t="s">
        <v>1387</v>
      </c>
      <c r="D250" s="5" t="s">
        <v>3105</v>
      </c>
      <c r="E250" s="5" t="s">
        <v>2300</v>
      </c>
      <c r="F250" s="5" t="s">
        <v>1701</v>
      </c>
      <c r="G250" s="5" t="s">
        <v>1387</v>
      </c>
      <c r="H250" s="5" t="s">
        <v>2408</v>
      </c>
      <c r="I250" s="5" t="s">
        <v>2303</v>
      </c>
      <c r="J250" s="5" t="s">
        <v>1452</v>
      </c>
      <c r="K250" s="5">
        <v>3.0</v>
      </c>
      <c r="L250" s="5" t="b">
        <v>1</v>
      </c>
      <c r="M250" s="5" t="s">
        <v>1944</v>
      </c>
      <c r="N250" s="5" t="b">
        <v>1</v>
      </c>
    </row>
    <row r="251">
      <c r="A251" s="5" t="s">
        <v>3106</v>
      </c>
      <c r="B251" s="5" t="s">
        <v>3107</v>
      </c>
      <c r="C251" s="5" t="s">
        <v>1387</v>
      </c>
      <c r="D251" s="5" t="s">
        <v>3108</v>
      </c>
      <c r="E251" s="5" t="s">
        <v>2300</v>
      </c>
      <c r="F251" s="5" t="s">
        <v>2158</v>
      </c>
      <c r="G251" s="5" t="s">
        <v>1387</v>
      </c>
      <c r="H251" s="5" t="s">
        <v>3109</v>
      </c>
      <c r="I251" s="5" t="s">
        <v>2303</v>
      </c>
      <c r="J251" s="5" t="s">
        <v>1452</v>
      </c>
      <c r="K251" s="5">
        <v>3.0</v>
      </c>
      <c r="L251" s="5" t="b">
        <v>1</v>
      </c>
      <c r="M251" s="5" t="s">
        <v>1944</v>
      </c>
      <c r="N251" s="5" t="b">
        <v>1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7.63"/>
  </cols>
  <sheetData>
    <row r="1">
      <c r="A1" s="24" t="s">
        <v>3110</v>
      </c>
      <c r="B1" s="24" t="s">
        <v>3111</v>
      </c>
      <c r="C1" s="24" t="s">
        <v>3112</v>
      </c>
      <c r="D1" s="24" t="s">
        <v>3113</v>
      </c>
      <c r="E1" s="24" t="s">
        <v>3114</v>
      </c>
      <c r="F1" s="24" t="s">
        <v>3115</v>
      </c>
      <c r="G1" s="24" t="s">
        <v>3116</v>
      </c>
      <c r="H1" s="24" t="s">
        <v>1344</v>
      </c>
      <c r="I1" s="24" t="s">
        <v>1345</v>
      </c>
      <c r="J1" s="24" t="s">
        <v>369</v>
      </c>
    </row>
    <row r="2">
      <c r="A2" s="5" t="s">
        <v>3117</v>
      </c>
      <c r="B2" s="5" t="s">
        <v>3118</v>
      </c>
      <c r="C2" s="5" t="s">
        <v>1939</v>
      </c>
      <c r="D2" s="5" t="s">
        <v>1807</v>
      </c>
      <c r="E2" s="5" t="s">
        <v>1807</v>
      </c>
      <c r="F2" s="5" t="s">
        <v>3119</v>
      </c>
      <c r="G2" s="5">
        <v>10.0</v>
      </c>
      <c r="H2" s="25">
        <v>46023.0</v>
      </c>
      <c r="I2" s="7"/>
      <c r="J2" s="5" t="b">
        <v>1</v>
      </c>
    </row>
    <row r="3">
      <c r="A3" s="5" t="s">
        <v>3120</v>
      </c>
      <c r="B3" s="5" t="s">
        <v>3118</v>
      </c>
      <c r="C3" s="5" t="s">
        <v>1998</v>
      </c>
      <c r="D3" s="5" t="s">
        <v>1807</v>
      </c>
      <c r="E3" s="5" t="s">
        <v>1807</v>
      </c>
      <c r="F3" s="5" t="s">
        <v>3119</v>
      </c>
      <c r="G3" s="5">
        <v>20.0</v>
      </c>
      <c r="H3" s="25">
        <v>46023.0</v>
      </c>
      <c r="I3" s="7"/>
      <c r="J3" s="5" t="b">
        <v>1</v>
      </c>
    </row>
    <row r="4">
      <c r="A4" s="5" t="s">
        <v>3121</v>
      </c>
      <c r="B4" s="5" t="s">
        <v>3118</v>
      </c>
      <c r="C4" s="5" t="s">
        <v>1483</v>
      </c>
      <c r="D4" s="5" t="s">
        <v>1807</v>
      </c>
      <c r="E4" s="5" t="s">
        <v>1807</v>
      </c>
      <c r="F4" s="5" t="s">
        <v>3119</v>
      </c>
      <c r="G4" s="5">
        <v>30.0</v>
      </c>
      <c r="H4" s="25">
        <v>46023.0</v>
      </c>
      <c r="I4" s="7"/>
      <c r="J4" s="5" t="b">
        <v>1</v>
      </c>
    </row>
    <row r="5">
      <c r="A5" s="5" t="s">
        <v>3122</v>
      </c>
      <c r="B5" s="5" t="s">
        <v>3118</v>
      </c>
      <c r="C5" s="5" t="s">
        <v>1898</v>
      </c>
      <c r="D5" s="5" t="s">
        <v>1807</v>
      </c>
      <c r="E5" s="5" t="s">
        <v>1807</v>
      </c>
      <c r="F5" s="5" t="s">
        <v>3119</v>
      </c>
      <c r="G5" s="5">
        <v>40.0</v>
      </c>
      <c r="H5" s="25">
        <v>46023.0</v>
      </c>
      <c r="I5" s="7"/>
      <c r="J5" s="5" t="b">
        <v>1</v>
      </c>
    </row>
    <row r="6">
      <c r="A6" s="5" t="s">
        <v>3123</v>
      </c>
      <c r="B6" s="5" t="s">
        <v>3118</v>
      </c>
      <c r="C6" s="5" t="s">
        <v>1883</v>
      </c>
      <c r="D6" s="5" t="s">
        <v>1807</v>
      </c>
      <c r="E6" s="5" t="s">
        <v>1807</v>
      </c>
      <c r="F6" s="5" t="s">
        <v>3119</v>
      </c>
      <c r="G6" s="5">
        <v>50.0</v>
      </c>
      <c r="H6" s="25">
        <v>46023.0</v>
      </c>
      <c r="I6" s="7"/>
      <c r="J6" s="5" t="b">
        <v>1</v>
      </c>
    </row>
    <row r="7">
      <c r="A7" s="5" t="s">
        <v>3124</v>
      </c>
      <c r="B7" s="5" t="s">
        <v>3118</v>
      </c>
      <c r="C7" s="5" t="s">
        <v>2244</v>
      </c>
      <c r="D7" s="5" t="s">
        <v>1807</v>
      </c>
      <c r="E7" s="5" t="s">
        <v>1807</v>
      </c>
      <c r="F7" s="5" t="s">
        <v>3119</v>
      </c>
      <c r="G7" s="5">
        <v>60.0</v>
      </c>
      <c r="H7" s="25">
        <v>46023.0</v>
      </c>
      <c r="I7" s="7"/>
      <c r="J7" s="5" t="b">
        <v>1</v>
      </c>
    </row>
    <row r="8">
      <c r="A8" s="5" t="s">
        <v>3125</v>
      </c>
      <c r="B8" s="5" t="s">
        <v>3118</v>
      </c>
      <c r="C8" s="5" t="s">
        <v>2209</v>
      </c>
      <c r="D8" s="5" t="s">
        <v>479</v>
      </c>
      <c r="E8" s="5" t="s">
        <v>1376</v>
      </c>
      <c r="F8" s="5" t="s">
        <v>3119</v>
      </c>
      <c r="G8" s="5">
        <v>70.0</v>
      </c>
      <c r="H8" s="25">
        <v>46023.0</v>
      </c>
      <c r="I8" s="7"/>
      <c r="J8" s="5" t="b">
        <v>1</v>
      </c>
    </row>
    <row r="9">
      <c r="A9" s="5" t="s">
        <v>3126</v>
      </c>
      <c r="B9" s="5" t="s">
        <v>3118</v>
      </c>
      <c r="C9" s="5" t="s">
        <v>2298</v>
      </c>
      <c r="D9" s="5" t="s">
        <v>3127</v>
      </c>
      <c r="E9" s="5" t="s">
        <v>1360</v>
      </c>
      <c r="F9" s="5" t="s">
        <v>3119</v>
      </c>
      <c r="G9" s="5">
        <v>100.0</v>
      </c>
      <c r="H9" s="25">
        <v>46023.0</v>
      </c>
      <c r="I9" s="7"/>
      <c r="J9" s="5" t="b">
        <v>1</v>
      </c>
    </row>
    <row r="10">
      <c r="A10" s="5" t="s">
        <v>3128</v>
      </c>
      <c r="B10" s="5" t="s">
        <v>3118</v>
      </c>
      <c r="C10" s="5" t="s">
        <v>2336</v>
      </c>
      <c r="D10" s="5" t="s">
        <v>479</v>
      </c>
      <c r="E10" s="5" t="s">
        <v>1371</v>
      </c>
      <c r="F10" s="5" t="s">
        <v>3119</v>
      </c>
      <c r="G10" s="5">
        <v>110.0</v>
      </c>
      <c r="H10" s="25">
        <v>46023.0</v>
      </c>
      <c r="I10" s="7"/>
      <c r="J10" s="5" t="b">
        <v>1</v>
      </c>
    </row>
    <row r="11">
      <c r="A11" s="5" t="s">
        <v>3129</v>
      </c>
      <c r="B11" s="5" t="s">
        <v>3118</v>
      </c>
      <c r="C11" s="5" t="s">
        <v>2370</v>
      </c>
      <c r="D11" s="5" t="s">
        <v>479</v>
      </c>
      <c r="E11" s="5" t="s">
        <v>1376</v>
      </c>
      <c r="F11" s="5" t="s">
        <v>3119</v>
      </c>
      <c r="G11" s="5">
        <v>120.0</v>
      </c>
      <c r="H11" s="25">
        <v>46023.0</v>
      </c>
      <c r="I11" s="7"/>
      <c r="J11" s="5" t="b">
        <v>1</v>
      </c>
    </row>
    <row r="12">
      <c r="A12" s="5" t="s">
        <v>3130</v>
      </c>
      <c r="B12" s="5" t="s">
        <v>3118</v>
      </c>
      <c r="C12" s="5" t="s">
        <v>2425</v>
      </c>
      <c r="D12" s="5" t="s">
        <v>479</v>
      </c>
      <c r="E12" s="5" t="s">
        <v>1376</v>
      </c>
      <c r="F12" s="5" t="s">
        <v>3119</v>
      </c>
      <c r="G12" s="5">
        <v>130.0</v>
      </c>
      <c r="H12" s="25">
        <v>46023.0</v>
      </c>
      <c r="I12" s="7"/>
      <c r="J12" s="5" t="b">
        <v>1</v>
      </c>
    </row>
    <row r="13">
      <c r="A13" s="5" t="s">
        <v>3131</v>
      </c>
      <c r="B13" s="5" t="s">
        <v>3118</v>
      </c>
      <c r="C13" s="5" t="s">
        <v>2468</v>
      </c>
      <c r="D13" s="5" t="s">
        <v>479</v>
      </c>
      <c r="E13" s="5" t="s">
        <v>1376</v>
      </c>
      <c r="F13" s="5" t="s">
        <v>3119</v>
      </c>
      <c r="G13" s="5">
        <v>140.0</v>
      </c>
      <c r="H13" s="25">
        <v>46023.0</v>
      </c>
      <c r="I13" s="7"/>
      <c r="J13" s="5" t="b">
        <v>1</v>
      </c>
    </row>
    <row r="14">
      <c r="A14" s="5" t="s">
        <v>3132</v>
      </c>
      <c r="B14" s="5" t="s">
        <v>3118</v>
      </c>
      <c r="C14" s="5" t="s">
        <v>2514</v>
      </c>
      <c r="D14" s="5" t="s">
        <v>479</v>
      </c>
      <c r="E14" s="5" t="s">
        <v>1376</v>
      </c>
      <c r="F14" s="5" t="s">
        <v>3119</v>
      </c>
      <c r="G14" s="5">
        <v>150.0</v>
      </c>
      <c r="H14" s="25">
        <v>46023.0</v>
      </c>
      <c r="I14" s="7"/>
      <c r="J14" s="5" t="b">
        <v>1</v>
      </c>
    </row>
    <row r="15">
      <c r="A15" s="5" t="s">
        <v>3133</v>
      </c>
      <c r="B15" s="5" t="s">
        <v>3118</v>
      </c>
      <c r="C15" s="5" t="s">
        <v>2558</v>
      </c>
      <c r="D15" s="5" t="s">
        <v>479</v>
      </c>
      <c r="E15" s="5" t="s">
        <v>1371</v>
      </c>
      <c r="F15" s="5" t="s">
        <v>3119</v>
      </c>
      <c r="G15" s="5">
        <v>160.0</v>
      </c>
      <c r="H15" s="25">
        <v>46023.0</v>
      </c>
      <c r="I15" s="7"/>
      <c r="J15" s="5" t="b">
        <v>1</v>
      </c>
    </row>
    <row r="16">
      <c r="A16" s="5" t="s">
        <v>3134</v>
      </c>
      <c r="B16" s="5" t="s">
        <v>3118</v>
      </c>
      <c r="C16" s="5" t="s">
        <v>2608</v>
      </c>
      <c r="D16" s="5" t="s">
        <v>479</v>
      </c>
      <c r="E16" s="5" t="s">
        <v>1371</v>
      </c>
      <c r="F16" s="5" t="s">
        <v>3119</v>
      </c>
      <c r="G16" s="5">
        <v>170.0</v>
      </c>
      <c r="H16" s="25">
        <v>46023.0</v>
      </c>
      <c r="I16" s="7"/>
      <c r="J16" s="5" t="b">
        <v>1</v>
      </c>
    </row>
    <row r="17">
      <c r="A17" s="5" t="s">
        <v>3135</v>
      </c>
      <c r="B17" s="5" t="s">
        <v>3118</v>
      </c>
      <c r="C17" s="5" t="s">
        <v>2660</v>
      </c>
      <c r="D17" s="5" t="s">
        <v>479</v>
      </c>
      <c r="E17" s="5" t="s">
        <v>1398</v>
      </c>
      <c r="F17" s="5" t="s">
        <v>3119</v>
      </c>
      <c r="G17" s="5">
        <v>180.0</v>
      </c>
      <c r="H17" s="25">
        <v>46023.0</v>
      </c>
      <c r="I17" s="7"/>
      <c r="J17" s="5" t="b">
        <v>1</v>
      </c>
    </row>
    <row r="18">
      <c r="A18" s="5" t="s">
        <v>3136</v>
      </c>
      <c r="B18" s="5" t="s">
        <v>3118</v>
      </c>
      <c r="C18" s="5" t="s">
        <v>2721</v>
      </c>
      <c r="D18" s="5" t="s">
        <v>479</v>
      </c>
      <c r="E18" s="5" t="s">
        <v>1393</v>
      </c>
      <c r="F18" s="5" t="s">
        <v>3119</v>
      </c>
      <c r="G18" s="5">
        <v>190.0</v>
      </c>
      <c r="H18" s="25">
        <v>46023.0</v>
      </c>
      <c r="I18" s="7"/>
      <c r="J18" s="5" t="b">
        <v>1</v>
      </c>
    </row>
    <row r="19">
      <c r="A19" s="5" t="s">
        <v>3137</v>
      </c>
      <c r="B19" s="5" t="s">
        <v>3118</v>
      </c>
      <c r="C19" s="5" t="s">
        <v>2765</v>
      </c>
      <c r="D19" s="5" t="s">
        <v>479</v>
      </c>
      <c r="E19" s="5" t="s">
        <v>1402</v>
      </c>
      <c r="F19" s="5" t="s">
        <v>3119</v>
      </c>
      <c r="G19" s="5">
        <v>200.0</v>
      </c>
      <c r="H19" s="25">
        <v>46023.0</v>
      </c>
      <c r="I19" s="7"/>
      <c r="J19" s="5" t="b">
        <v>1</v>
      </c>
    </row>
    <row r="20">
      <c r="A20" s="5" t="s">
        <v>3138</v>
      </c>
      <c r="B20" s="5" t="s">
        <v>3118</v>
      </c>
      <c r="C20" s="5" t="s">
        <v>2808</v>
      </c>
      <c r="D20" s="5" t="s">
        <v>479</v>
      </c>
      <c r="E20" s="5" t="s">
        <v>1406</v>
      </c>
      <c r="F20" s="5" t="s">
        <v>3119</v>
      </c>
      <c r="G20" s="5">
        <v>210.0</v>
      </c>
      <c r="H20" s="25">
        <v>46023.0</v>
      </c>
      <c r="I20" s="7"/>
      <c r="J20" s="5" t="b">
        <v>1</v>
      </c>
    </row>
    <row r="21">
      <c r="A21" s="5" t="s">
        <v>3139</v>
      </c>
      <c r="B21" s="5" t="s">
        <v>3118</v>
      </c>
      <c r="C21" s="5" t="s">
        <v>2842</v>
      </c>
      <c r="D21" s="5" t="s">
        <v>479</v>
      </c>
      <c r="E21" s="5" t="s">
        <v>1410</v>
      </c>
      <c r="F21" s="5" t="s">
        <v>3119</v>
      </c>
      <c r="G21" s="5">
        <v>220.0</v>
      </c>
      <c r="H21" s="25">
        <v>46023.0</v>
      </c>
      <c r="I21" s="7"/>
      <c r="J21" s="5" t="b">
        <v>1</v>
      </c>
    </row>
    <row r="22">
      <c r="A22" s="5" t="s">
        <v>3140</v>
      </c>
      <c r="B22" s="5" t="s">
        <v>3118</v>
      </c>
      <c r="C22" s="5" t="s">
        <v>2885</v>
      </c>
      <c r="D22" s="5" t="s">
        <v>479</v>
      </c>
      <c r="E22" s="5" t="s">
        <v>1414</v>
      </c>
      <c r="F22" s="5" t="s">
        <v>3119</v>
      </c>
      <c r="G22" s="5">
        <v>230.0</v>
      </c>
      <c r="H22" s="25">
        <v>46023.0</v>
      </c>
      <c r="I22" s="7"/>
      <c r="J22" s="5" t="b">
        <v>1</v>
      </c>
    </row>
    <row r="23">
      <c r="A23" s="5" t="s">
        <v>3141</v>
      </c>
      <c r="B23" s="5" t="s">
        <v>3118</v>
      </c>
      <c r="C23" s="5" t="s">
        <v>1379</v>
      </c>
      <c r="D23" s="5" t="s">
        <v>479</v>
      </c>
      <c r="E23" s="5" t="s">
        <v>1379</v>
      </c>
      <c r="F23" s="5" t="s">
        <v>3119</v>
      </c>
      <c r="G23" s="5">
        <v>240.0</v>
      </c>
      <c r="H23" s="25">
        <v>46023.0</v>
      </c>
      <c r="I23" s="7"/>
      <c r="J23" s="5" t="b">
        <v>1</v>
      </c>
    </row>
    <row r="24">
      <c r="A24" s="5" t="s">
        <v>3142</v>
      </c>
      <c r="B24" s="5" t="s">
        <v>3118</v>
      </c>
      <c r="C24" s="5" t="s">
        <v>1383</v>
      </c>
      <c r="D24" s="5" t="s">
        <v>479</v>
      </c>
      <c r="E24" s="5" t="s">
        <v>1383</v>
      </c>
      <c r="F24" s="5" t="s">
        <v>3119</v>
      </c>
      <c r="G24" s="5">
        <v>250.0</v>
      </c>
      <c r="H24" s="25">
        <v>46023.0</v>
      </c>
      <c r="I24" s="7"/>
      <c r="J24" s="5" t="b">
        <v>1</v>
      </c>
    </row>
    <row r="25">
      <c r="A25" s="5" t="s">
        <v>3143</v>
      </c>
      <c r="B25" s="5" t="s">
        <v>3118</v>
      </c>
      <c r="C25" s="5" t="s">
        <v>3020</v>
      </c>
      <c r="D25" s="5" t="s">
        <v>3127</v>
      </c>
      <c r="E25" s="5" t="s">
        <v>1420</v>
      </c>
      <c r="F25" s="5" t="s">
        <v>3119</v>
      </c>
      <c r="G25" s="5">
        <v>260.0</v>
      </c>
      <c r="H25" s="25">
        <v>46023.0</v>
      </c>
      <c r="I25" s="7"/>
      <c r="J25" s="5" t="b">
        <v>1</v>
      </c>
    </row>
    <row r="26">
      <c r="A26" s="5" t="s">
        <v>3144</v>
      </c>
      <c r="B26" s="5" t="s">
        <v>3118</v>
      </c>
      <c r="C26" s="5" t="s">
        <v>1387</v>
      </c>
      <c r="D26" s="5" t="s">
        <v>479</v>
      </c>
      <c r="E26" s="5" t="s">
        <v>1387</v>
      </c>
      <c r="F26" s="5" t="s">
        <v>3119</v>
      </c>
      <c r="G26" s="5">
        <v>270.0</v>
      </c>
      <c r="H26" s="25">
        <v>46023.0</v>
      </c>
      <c r="I26" s="7"/>
      <c r="J26" s="5" t="b">
        <v>1</v>
      </c>
    </row>
    <row r="27">
      <c r="A27" s="9" t="s">
        <v>3145</v>
      </c>
      <c r="B27" s="9" t="s">
        <v>3118</v>
      </c>
      <c r="C27" s="9" t="s">
        <v>2209</v>
      </c>
      <c r="D27" s="9" t="s">
        <v>479</v>
      </c>
      <c r="E27" s="9" t="s">
        <v>1371</v>
      </c>
      <c r="F27" s="9" t="s">
        <v>3119</v>
      </c>
      <c r="G27" s="9">
        <v>71.0</v>
      </c>
      <c r="H27" s="19" t="s">
        <v>3146</v>
      </c>
      <c r="J27" s="9" t="b">
        <v>1</v>
      </c>
    </row>
    <row r="28">
      <c r="A28" s="9" t="s">
        <v>3147</v>
      </c>
      <c r="B28" s="9" t="s">
        <v>3118</v>
      </c>
      <c r="C28" s="9" t="s">
        <v>2298</v>
      </c>
      <c r="D28" s="9" t="s">
        <v>479</v>
      </c>
      <c r="E28" s="9" t="s">
        <v>1353</v>
      </c>
      <c r="F28" s="9" t="s">
        <v>3119</v>
      </c>
      <c r="G28" s="9">
        <v>101.0</v>
      </c>
      <c r="H28" s="19" t="s">
        <v>3146</v>
      </c>
      <c r="J28" s="9" t="b">
        <v>1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7.63"/>
    <col customWidth="1" min="5" max="5" width="45.13"/>
    <col customWidth="1" min="6" max="9" width="17.63"/>
  </cols>
  <sheetData>
    <row r="1">
      <c r="A1" s="24" t="s">
        <v>3148</v>
      </c>
      <c r="B1" s="24" t="s">
        <v>99</v>
      </c>
      <c r="C1" s="24" t="s">
        <v>3149</v>
      </c>
      <c r="D1" s="24" t="s">
        <v>464</v>
      </c>
      <c r="E1" s="24" t="s">
        <v>3150</v>
      </c>
      <c r="F1" s="24" t="s">
        <v>3151</v>
      </c>
      <c r="G1" s="24" t="s">
        <v>3152</v>
      </c>
      <c r="H1" s="24" t="s">
        <v>3153</v>
      </c>
      <c r="I1" s="24" t="s">
        <v>369</v>
      </c>
    </row>
    <row r="2">
      <c r="A2" s="5" t="s">
        <v>3154</v>
      </c>
      <c r="B2" s="5" t="s">
        <v>3155</v>
      </c>
      <c r="C2" s="5">
        <v>0.0</v>
      </c>
      <c r="D2" s="5" t="s">
        <v>3156</v>
      </c>
      <c r="E2" s="5" t="s">
        <v>3157</v>
      </c>
      <c r="F2" s="5" t="s">
        <v>3158</v>
      </c>
      <c r="G2" s="7"/>
      <c r="H2" s="5" t="b">
        <v>1</v>
      </c>
      <c r="I2" s="5" t="b">
        <v>1</v>
      </c>
    </row>
    <row r="3">
      <c r="A3" s="5" t="s">
        <v>3154</v>
      </c>
      <c r="B3" s="5" t="s">
        <v>3159</v>
      </c>
      <c r="C3" s="5">
        <v>1.0</v>
      </c>
      <c r="D3" s="5" t="s">
        <v>3160</v>
      </c>
      <c r="E3" s="5" t="s">
        <v>3161</v>
      </c>
      <c r="F3" s="5" t="s">
        <v>3162</v>
      </c>
      <c r="G3" s="7"/>
      <c r="H3" s="5" t="b">
        <v>0</v>
      </c>
      <c r="I3" s="5" t="b">
        <v>1</v>
      </c>
    </row>
    <row r="4">
      <c r="A4" s="5" t="s">
        <v>3154</v>
      </c>
      <c r="B4" s="5" t="s">
        <v>3163</v>
      </c>
      <c r="C4" s="5">
        <v>2.0</v>
      </c>
      <c r="D4" s="5" t="s">
        <v>3164</v>
      </c>
      <c r="E4" s="5" t="s">
        <v>3165</v>
      </c>
      <c r="F4" s="5" t="s">
        <v>3166</v>
      </c>
      <c r="G4" s="7"/>
      <c r="H4" s="5" t="b">
        <v>0</v>
      </c>
      <c r="I4" s="5" t="b">
        <v>1</v>
      </c>
    </row>
    <row r="5">
      <c r="A5" s="5" t="s">
        <v>3154</v>
      </c>
      <c r="B5" s="5" t="s">
        <v>3167</v>
      </c>
      <c r="C5" s="5">
        <v>3.0</v>
      </c>
      <c r="D5" s="5" t="s">
        <v>3168</v>
      </c>
      <c r="E5" s="5" t="s">
        <v>3169</v>
      </c>
      <c r="F5" s="5" t="s">
        <v>3170</v>
      </c>
      <c r="G5" s="7"/>
      <c r="H5" s="5" t="b">
        <v>0</v>
      </c>
      <c r="I5" s="5" t="b">
        <v>1</v>
      </c>
    </row>
    <row r="6">
      <c r="A6" s="5" t="s">
        <v>3154</v>
      </c>
      <c r="B6" s="5" t="s">
        <v>3171</v>
      </c>
      <c r="C6" s="5">
        <v>4.0</v>
      </c>
      <c r="D6" s="5" t="s">
        <v>3172</v>
      </c>
      <c r="E6" s="5" t="s">
        <v>3173</v>
      </c>
      <c r="F6" s="5" t="s">
        <v>3170</v>
      </c>
      <c r="G6" s="7"/>
      <c r="H6" s="5" t="b">
        <v>0</v>
      </c>
      <c r="I6" s="5" t="b">
        <v>1</v>
      </c>
    </row>
    <row r="7">
      <c r="A7" s="5" t="s">
        <v>262</v>
      </c>
      <c r="B7" s="5" t="s">
        <v>3174</v>
      </c>
      <c r="C7" s="5">
        <v>0.0</v>
      </c>
      <c r="D7" s="5" t="s">
        <v>3175</v>
      </c>
      <c r="E7" s="5" t="s">
        <v>3176</v>
      </c>
      <c r="F7" s="5" t="s">
        <v>3158</v>
      </c>
      <c r="G7" s="7"/>
      <c r="H7" s="5" t="b">
        <v>1</v>
      </c>
      <c r="I7" s="5" t="b">
        <v>1</v>
      </c>
    </row>
    <row r="8">
      <c r="A8" s="5" t="s">
        <v>262</v>
      </c>
      <c r="B8" s="5" t="s">
        <v>3177</v>
      </c>
      <c r="C8" s="5">
        <v>1.0</v>
      </c>
      <c r="D8" s="5" t="s">
        <v>3178</v>
      </c>
      <c r="E8" s="5" t="s">
        <v>3179</v>
      </c>
      <c r="F8" s="5" t="s">
        <v>3162</v>
      </c>
      <c r="G8" s="7"/>
      <c r="H8" s="5" t="b">
        <v>0</v>
      </c>
      <c r="I8" s="5" t="b">
        <v>1</v>
      </c>
    </row>
    <row r="9">
      <c r="A9" s="5" t="s">
        <v>262</v>
      </c>
      <c r="B9" s="5" t="s">
        <v>3180</v>
      </c>
      <c r="C9" s="5">
        <v>2.0</v>
      </c>
      <c r="D9" s="5" t="s">
        <v>3181</v>
      </c>
      <c r="E9" s="5" t="s">
        <v>3182</v>
      </c>
      <c r="F9" s="5" t="s">
        <v>3166</v>
      </c>
      <c r="G9" s="7"/>
      <c r="H9" s="5" t="b">
        <v>0</v>
      </c>
      <c r="I9" s="5" t="b">
        <v>1</v>
      </c>
    </row>
    <row r="10">
      <c r="A10" s="5" t="s">
        <v>262</v>
      </c>
      <c r="B10" s="5" t="s">
        <v>3183</v>
      </c>
      <c r="C10" s="5">
        <v>3.0</v>
      </c>
      <c r="D10" s="5" t="s">
        <v>3184</v>
      </c>
      <c r="E10" s="5" t="s">
        <v>3185</v>
      </c>
      <c r="F10" s="5" t="s">
        <v>3170</v>
      </c>
      <c r="G10" s="7"/>
      <c r="H10" s="5" t="b">
        <v>0</v>
      </c>
      <c r="I10" s="5" t="b">
        <v>1</v>
      </c>
    </row>
    <row r="11">
      <c r="A11" s="5" t="s">
        <v>1874</v>
      </c>
      <c r="B11" s="5" t="s">
        <v>3186</v>
      </c>
      <c r="C11" s="5">
        <v>1.0</v>
      </c>
      <c r="D11" s="5" t="s">
        <v>3187</v>
      </c>
      <c r="E11" s="5" t="s">
        <v>3188</v>
      </c>
      <c r="F11" s="7"/>
      <c r="G11" s="5">
        <v>1.0</v>
      </c>
      <c r="H11" s="5" t="b">
        <v>0</v>
      </c>
      <c r="I11" s="5" t="b">
        <v>1</v>
      </c>
    </row>
    <row r="12">
      <c r="A12" s="5" t="s">
        <v>1874</v>
      </c>
      <c r="B12" s="5" t="s">
        <v>1465</v>
      </c>
      <c r="C12" s="5">
        <v>2.0</v>
      </c>
      <c r="D12" s="5" t="s">
        <v>3189</v>
      </c>
      <c r="E12" s="5" t="s">
        <v>3190</v>
      </c>
      <c r="F12" s="7"/>
      <c r="G12" s="5">
        <v>2.0</v>
      </c>
      <c r="H12" s="5" t="b">
        <v>0</v>
      </c>
      <c r="I12" s="5" t="b">
        <v>1</v>
      </c>
    </row>
    <row r="13">
      <c r="A13" s="5" t="s">
        <v>1874</v>
      </c>
      <c r="B13" s="5" t="s">
        <v>1452</v>
      </c>
      <c r="C13" s="5">
        <v>3.0</v>
      </c>
      <c r="D13" s="5" t="s">
        <v>3191</v>
      </c>
      <c r="E13" s="5" t="s">
        <v>3192</v>
      </c>
      <c r="F13" s="7"/>
      <c r="G13" s="5">
        <v>3.0</v>
      </c>
      <c r="H13" s="5" t="b">
        <v>0</v>
      </c>
      <c r="I13" s="5" t="b">
        <v>1</v>
      </c>
    </row>
    <row r="14">
      <c r="A14" s="5" t="s">
        <v>3193</v>
      </c>
      <c r="B14" s="5" t="s">
        <v>38</v>
      </c>
      <c r="C14" s="7"/>
      <c r="D14" s="5" t="s">
        <v>3194</v>
      </c>
      <c r="E14" s="5" t="s">
        <v>3195</v>
      </c>
      <c r="F14" s="5" t="s">
        <v>3170</v>
      </c>
      <c r="G14" s="7"/>
      <c r="H14" s="5" t="b">
        <v>0</v>
      </c>
      <c r="I14" s="5" t="b">
        <v>1</v>
      </c>
    </row>
    <row r="15">
      <c r="A15" s="5" t="s">
        <v>3193</v>
      </c>
      <c r="B15" s="5" t="s">
        <v>3196</v>
      </c>
      <c r="C15" s="7"/>
      <c r="D15" s="5" t="s">
        <v>3197</v>
      </c>
      <c r="E15" s="5" t="s">
        <v>3198</v>
      </c>
      <c r="F15" s="5" t="s">
        <v>3196</v>
      </c>
      <c r="G15" s="7"/>
      <c r="H15" s="5" t="b">
        <v>0</v>
      </c>
      <c r="I15" s="5" t="b">
        <v>1</v>
      </c>
    </row>
    <row r="16">
      <c r="A16" s="5" t="s">
        <v>3193</v>
      </c>
      <c r="B16" s="5" t="s">
        <v>3199</v>
      </c>
      <c r="C16" s="7"/>
      <c r="D16" s="5" t="s">
        <v>2200</v>
      </c>
      <c r="E16" s="5" t="s">
        <v>3200</v>
      </c>
      <c r="F16" s="5" t="s">
        <v>3166</v>
      </c>
      <c r="G16" s="7"/>
      <c r="H16" s="5" t="b">
        <v>0</v>
      </c>
      <c r="I16" s="5" t="b">
        <v>1</v>
      </c>
    </row>
    <row r="17">
      <c r="A17" s="5" t="s">
        <v>3193</v>
      </c>
      <c r="B17" s="5" t="s">
        <v>3162</v>
      </c>
      <c r="C17" s="7"/>
      <c r="D17" s="5" t="s">
        <v>3201</v>
      </c>
      <c r="E17" s="5" t="s">
        <v>3202</v>
      </c>
      <c r="F17" s="5" t="s">
        <v>3162</v>
      </c>
      <c r="G17" s="7"/>
      <c r="H17" s="5" t="b">
        <v>0</v>
      </c>
      <c r="I17" s="5" t="b">
        <v>1</v>
      </c>
    </row>
    <row r="18">
      <c r="A18" s="5" t="s">
        <v>3193</v>
      </c>
      <c r="B18" s="5" t="s">
        <v>3158</v>
      </c>
      <c r="C18" s="7"/>
      <c r="D18" s="5" t="s">
        <v>3203</v>
      </c>
      <c r="E18" s="5" t="s">
        <v>3204</v>
      </c>
      <c r="F18" s="5" t="s">
        <v>3158</v>
      </c>
      <c r="G18" s="7"/>
      <c r="H18" s="5" t="b">
        <v>1</v>
      </c>
      <c r="I18" s="5" t="b">
        <v>1</v>
      </c>
    </row>
    <row r="19">
      <c r="A19" s="5" t="s">
        <v>3193</v>
      </c>
      <c r="B19" s="5" t="s">
        <v>3205</v>
      </c>
      <c r="C19" s="7"/>
      <c r="D19" s="5" t="s">
        <v>3206</v>
      </c>
      <c r="E19" s="5" t="s">
        <v>3207</v>
      </c>
      <c r="F19" s="5" t="s">
        <v>3205</v>
      </c>
      <c r="G19" s="7"/>
      <c r="H19" s="5" t="b">
        <v>0</v>
      </c>
      <c r="I19" s="5" t="b">
        <v>1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7.63"/>
  </cols>
  <sheetData>
    <row r="1">
      <c r="A1" s="24" t="s">
        <v>3208</v>
      </c>
      <c r="B1" s="24" t="s">
        <v>3209</v>
      </c>
      <c r="C1" s="24" t="s">
        <v>3210</v>
      </c>
      <c r="D1" s="24" t="s">
        <v>3211</v>
      </c>
      <c r="E1" s="24" t="s">
        <v>3212</v>
      </c>
      <c r="F1" s="24" t="s">
        <v>3213</v>
      </c>
      <c r="G1" s="24" t="s">
        <v>3214</v>
      </c>
      <c r="H1" s="24" t="s">
        <v>369</v>
      </c>
    </row>
    <row r="2">
      <c r="A2" s="5" t="s">
        <v>3215</v>
      </c>
      <c r="B2" s="5" t="s">
        <v>3216</v>
      </c>
      <c r="C2" s="5" t="s">
        <v>1893</v>
      </c>
      <c r="D2" s="5" t="s">
        <v>3217</v>
      </c>
      <c r="E2" s="5">
        <v>10.0</v>
      </c>
      <c r="F2" s="5" t="s">
        <v>3218</v>
      </c>
      <c r="G2" s="5" t="s">
        <v>3219</v>
      </c>
      <c r="H2" s="5" t="b">
        <v>1</v>
      </c>
    </row>
    <row r="3">
      <c r="A3" s="5" t="s">
        <v>3220</v>
      </c>
      <c r="B3" s="5" t="s">
        <v>3221</v>
      </c>
      <c r="C3" s="5" t="s">
        <v>1893</v>
      </c>
      <c r="D3" s="5" t="s">
        <v>3217</v>
      </c>
      <c r="E3" s="5">
        <v>10.0</v>
      </c>
      <c r="F3" s="5" t="s">
        <v>3218</v>
      </c>
      <c r="G3" s="5" t="s">
        <v>3222</v>
      </c>
      <c r="H3" s="5" t="b">
        <v>1</v>
      </c>
    </row>
    <row r="4">
      <c r="A4" s="5" t="s">
        <v>3223</v>
      </c>
      <c r="B4" s="5" t="s">
        <v>3224</v>
      </c>
      <c r="C4" s="5" t="s">
        <v>3223</v>
      </c>
      <c r="D4" s="5" t="s">
        <v>3225</v>
      </c>
      <c r="E4" s="5">
        <v>5.0</v>
      </c>
      <c r="F4" s="5" t="s">
        <v>3218</v>
      </c>
      <c r="G4" s="5" t="s">
        <v>3226</v>
      </c>
      <c r="H4" s="5" t="b">
        <v>1</v>
      </c>
    </row>
    <row r="5">
      <c r="A5" s="5" t="s">
        <v>309</v>
      </c>
      <c r="B5" s="5" t="s">
        <v>3227</v>
      </c>
      <c r="C5" s="5" t="s">
        <v>309</v>
      </c>
      <c r="D5" s="5" t="s">
        <v>3228</v>
      </c>
      <c r="E5" s="5">
        <v>10.0</v>
      </c>
      <c r="F5" s="5" t="s">
        <v>3218</v>
      </c>
      <c r="G5" s="5" t="s">
        <v>3229</v>
      </c>
      <c r="H5" s="5" t="b">
        <v>1</v>
      </c>
    </row>
    <row r="6">
      <c r="A6" s="5" t="s">
        <v>444</v>
      </c>
      <c r="B6" s="5" t="s">
        <v>3230</v>
      </c>
      <c r="C6" s="5" t="s">
        <v>75</v>
      </c>
      <c r="D6" s="5" t="s">
        <v>3231</v>
      </c>
      <c r="E6" s="5">
        <v>5.0</v>
      </c>
      <c r="F6" s="5" t="s">
        <v>3232</v>
      </c>
      <c r="G6" s="5" t="s">
        <v>3233</v>
      </c>
      <c r="H6" s="5" t="b">
        <v>1</v>
      </c>
    </row>
    <row r="7">
      <c r="A7" s="5" t="s">
        <v>3234</v>
      </c>
      <c r="B7" s="5" t="s">
        <v>3235</v>
      </c>
      <c r="C7" s="5" t="s">
        <v>3236</v>
      </c>
      <c r="D7" s="5" t="s">
        <v>3237</v>
      </c>
      <c r="E7" s="5">
        <v>5.0</v>
      </c>
      <c r="F7" s="5" t="s">
        <v>3218</v>
      </c>
      <c r="G7" s="5" t="s">
        <v>3238</v>
      </c>
      <c r="H7" s="5" t="b">
        <v>1</v>
      </c>
    </row>
    <row r="8">
      <c r="A8" s="5" t="s">
        <v>3239</v>
      </c>
      <c r="B8" s="5" t="s">
        <v>3240</v>
      </c>
      <c r="C8" s="5" t="s">
        <v>3223</v>
      </c>
      <c r="D8" s="5" t="s">
        <v>3217</v>
      </c>
      <c r="E8" s="5">
        <v>10.0</v>
      </c>
      <c r="F8" s="5" t="s">
        <v>3218</v>
      </c>
      <c r="G8" s="5" t="s">
        <v>3241</v>
      </c>
      <c r="H8" s="5" t="b">
        <v>1</v>
      </c>
    </row>
    <row r="9">
      <c r="A9" s="5" t="s">
        <v>3242</v>
      </c>
      <c r="B9" s="5" t="s">
        <v>3243</v>
      </c>
      <c r="C9" s="5" t="s">
        <v>3244</v>
      </c>
      <c r="D9" s="5" t="s">
        <v>3245</v>
      </c>
      <c r="E9" s="5">
        <v>10.0</v>
      </c>
      <c r="F9" s="5" t="s">
        <v>3232</v>
      </c>
      <c r="G9" s="5" t="s">
        <v>3246</v>
      </c>
      <c r="H9" s="5" t="b">
        <v>1</v>
      </c>
    </row>
    <row r="10">
      <c r="A10" s="5" t="s">
        <v>3247</v>
      </c>
      <c r="B10" s="5" t="s">
        <v>3248</v>
      </c>
      <c r="C10" s="5" t="s">
        <v>3247</v>
      </c>
      <c r="D10" s="5" t="s">
        <v>3249</v>
      </c>
      <c r="E10" s="5">
        <v>10.0</v>
      </c>
      <c r="F10" s="5" t="s">
        <v>3218</v>
      </c>
      <c r="G10" s="5" t="s">
        <v>3250</v>
      </c>
      <c r="H10" s="5" t="b">
        <v>1</v>
      </c>
    </row>
    <row r="11">
      <c r="A11" s="5" t="s">
        <v>3251</v>
      </c>
      <c r="B11" s="5" t="s">
        <v>3252</v>
      </c>
      <c r="C11" s="5" t="s">
        <v>3251</v>
      </c>
      <c r="D11" s="5" t="s">
        <v>3253</v>
      </c>
      <c r="E11" s="5">
        <v>3.0</v>
      </c>
      <c r="F11" s="5" t="s">
        <v>3218</v>
      </c>
      <c r="G11" s="5" t="s">
        <v>3254</v>
      </c>
      <c r="H11" s="5" t="b">
        <v>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7.63"/>
  </cols>
  <sheetData>
    <row r="1">
      <c r="A1" s="14" t="s">
        <v>467</v>
      </c>
      <c r="B1" s="14" t="s">
        <v>3255</v>
      </c>
      <c r="C1" s="14" t="s">
        <v>3256</v>
      </c>
      <c r="D1" s="14" t="s">
        <v>557</v>
      </c>
      <c r="E1" s="14" t="s">
        <v>3257</v>
      </c>
      <c r="F1" s="14" t="s">
        <v>369</v>
      </c>
    </row>
    <row r="2">
      <c r="A2" s="5" t="s">
        <v>224</v>
      </c>
      <c r="B2" s="5" t="s">
        <v>225</v>
      </c>
      <c r="C2" s="5" t="s">
        <v>3258</v>
      </c>
      <c r="D2" s="5">
        <v>1.0</v>
      </c>
      <c r="E2" s="7"/>
      <c r="F2" s="5" t="b">
        <v>1</v>
      </c>
    </row>
    <row r="3">
      <c r="A3" s="5" t="s">
        <v>224</v>
      </c>
      <c r="B3" s="5" t="s">
        <v>3259</v>
      </c>
      <c r="C3" s="5" t="s">
        <v>3260</v>
      </c>
      <c r="D3" s="5">
        <v>2.0</v>
      </c>
      <c r="E3" s="7"/>
      <c r="F3" s="5" t="b">
        <v>1</v>
      </c>
    </row>
    <row r="4">
      <c r="A4" s="5" t="s">
        <v>3261</v>
      </c>
      <c r="B4" s="5" t="s">
        <v>265</v>
      </c>
      <c r="C4" s="5" t="s">
        <v>3262</v>
      </c>
      <c r="D4" s="5">
        <v>1.0</v>
      </c>
      <c r="E4" s="7"/>
      <c r="F4" s="5" t="b">
        <v>1</v>
      </c>
    </row>
    <row r="5">
      <c r="A5" s="5" t="s">
        <v>1137</v>
      </c>
      <c r="B5" s="5" t="s">
        <v>88</v>
      </c>
      <c r="C5" s="5" t="s">
        <v>3263</v>
      </c>
      <c r="D5" s="5">
        <v>1.0</v>
      </c>
      <c r="E5" s="7"/>
      <c r="F5" s="5" t="b">
        <v>1</v>
      </c>
    </row>
    <row r="6">
      <c r="A6" s="5" t="s">
        <v>1137</v>
      </c>
      <c r="B6" s="5" t="s">
        <v>3264</v>
      </c>
      <c r="C6" s="5" t="s">
        <v>3265</v>
      </c>
      <c r="D6" s="5">
        <v>2.0</v>
      </c>
      <c r="E6" s="7"/>
      <c r="F6" s="5" t="b">
        <v>1</v>
      </c>
    </row>
    <row r="7">
      <c r="A7" s="5" t="s">
        <v>1137</v>
      </c>
      <c r="B7" s="5" t="s">
        <v>3266</v>
      </c>
      <c r="C7" s="5" t="s">
        <v>3267</v>
      </c>
      <c r="D7" s="5">
        <v>3.0</v>
      </c>
      <c r="E7" s="7"/>
      <c r="F7" s="5" t="b">
        <v>1</v>
      </c>
    </row>
    <row r="8">
      <c r="A8" s="5" t="s">
        <v>552</v>
      </c>
      <c r="B8" s="5" t="s">
        <v>3186</v>
      </c>
      <c r="C8" s="5" t="s">
        <v>3187</v>
      </c>
      <c r="D8" s="5">
        <v>1.0</v>
      </c>
      <c r="E8" s="7"/>
      <c r="F8" s="5" t="b">
        <v>1</v>
      </c>
    </row>
    <row r="9">
      <c r="A9" s="5" t="s">
        <v>552</v>
      </c>
      <c r="B9" s="5" t="s">
        <v>1465</v>
      </c>
      <c r="C9" s="5" t="s">
        <v>3189</v>
      </c>
      <c r="D9" s="5">
        <v>2.0</v>
      </c>
      <c r="E9" s="7"/>
      <c r="F9" s="5" t="b">
        <v>1</v>
      </c>
    </row>
    <row r="10">
      <c r="A10" s="5" t="s">
        <v>552</v>
      </c>
      <c r="B10" s="5" t="s">
        <v>1452</v>
      </c>
      <c r="C10" s="5" t="s">
        <v>3191</v>
      </c>
      <c r="D10" s="5">
        <v>3.0</v>
      </c>
      <c r="E10" s="7"/>
      <c r="F10" s="5" t="b">
        <v>1</v>
      </c>
    </row>
    <row r="11">
      <c r="A11" s="5" t="s">
        <v>3268</v>
      </c>
      <c r="B11" s="5" t="s">
        <v>3269</v>
      </c>
      <c r="C11" s="5" t="s">
        <v>3270</v>
      </c>
      <c r="D11" s="5">
        <v>1.0</v>
      </c>
      <c r="E11" s="7"/>
      <c r="F11" s="5" t="b">
        <v>1</v>
      </c>
    </row>
    <row r="12">
      <c r="A12" s="5" t="s">
        <v>3268</v>
      </c>
      <c r="B12" s="5" t="s">
        <v>3271</v>
      </c>
      <c r="C12" s="5" t="s">
        <v>3272</v>
      </c>
      <c r="D12" s="5">
        <v>2.0</v>
      </c>
      <c r="E12" s="7"/>
      <c r="F12" s="5" t="b">
        <v>1</v>
      </c>
    </row>
    <row r="13">
      <c r="A13" s="5" t="s">
        <v>3268</v>
      </c>
      <c r="B13" s="5" t="s">
        <v>423</v>
      </c>
      <c r="C13" s="5" t="s">
        <v>3273</v>
      </c>
      <c r="D13" s="5">
        <v>3.0</v>
      </c>
      <c r="E13" s="7"/>
      <c r="F13" s="5" t="b">
        <v>1</v>
      </c>
    </row>
    <row r="14">
      <c r="A14" s="5" t="s">
        <v>3274</v>
      </c>
      <c r="B14" s="5" t="s">
        <v>3275</v>
      </c>
      <c r="C14" s="5" t="s">
        <v>3276</v>
      </c>
      <c r="D14" s="5">
        <v>1.0</v>
      </c>
      <c r="E14" s="7"/>
      <c r="F14" s="5" t="b">
        <v>1</v>
      </c>
    </row>
    <row r="15">
      <c r="A15" s="5" t="s">
        <v>3274</v>
      </c>
      <c r="B15" s="5" t="s">
        <v>3277</v>
      </c>
      <c r="C15" s="5" t="s">
        <v>3278</v>
      </c>
      <c r="D15" s="5">
        <v>2.0</v>
      </c>
      <c r="E15" s="7"/>
      <c r="F15" s="5" t="b">
        <v>1</v>
      </c>
    </row>
    <row r="16">
      <c r="A16" s="5" t="s">
        <v>3279</v>
      </c>
      <c r="B16" s="5" t="s">
        <v>3280</v>
      </c>
      <c r="C16" s="5" t="s">
        <v>499</v>
      </c>
      <c r="D16" s="5">
        <v>1.0</v>
      </c>
      <c r="E16" s="7"/>
      <c r="F16" s="5" t="b">
        <v>1</v>
      </c>
    </row>
    <row r="17">
      <c r="A17" s="5" t="s">
        <v>3279</v>
      </c>
      <c r="B17" s="5" t="s">
        <v>3281</v>
      </c>
      <c r="C17" s="5" t="s">
        <v>3282</v>
      </c>
      <c r="D17" s="5">
        <v>2.0</v>
      </c>
      <c r="E17" s="7"/>
      <c r="F17" s="5" t="b">
        <v>1</v>
      </c>
    </row>
    <row r="18">
      <c r="A18" s="5" t="s">
        <v>3279</v>
      </c>
      <c r="B18" s="5" t="s">
        <v>3283</v>
      </c>
      <c r="C18" s="5" t="s">
        <v>3284</v>
      </c>
      <c r="D18" s="5">
        <v>3.0</v>
      </c>
      <c r="E18" s="7"/>
      <c r="F18" s="5" t="b">
        <v>1</v>
      </c>
    </row>
    <row r="19">
      <c r="A19" s="5" t="s">
        <v>3285</v>
      </c>
      <c r="B19" s="5" t="s">
        <v>3286</v>
      </c>
      <c r="C19" s="5" t="s">
        <v>3287</v>
      </c>
      <c r="D19" s="5">
        <v>1.0</v>
      </c>
      <c r="E19" s="7"/>
      <c r="F19" s="5" t="b">
        <v>1</v>
      </c>
    </row>
    <row r="20">
      <c r="A20" s="5" t="s">
        <v>3285</v>
      </c>
      <c r="B20" s="5" t="s">
        <v>3288</v>
      </c>
      <c r="C20" s="5" t="s">
        <v>3289</v>
      </c>
      <c r="D20" s="5">
        <v>2.0</v>
      </c>
      <c r="E20" s="7"/>
      <c r="F20" s="5" t="b">
        <v>1</v>
      </c>
    </row>
    <row r="21">
      <c r="A21" s="5" t="s">
        <v>3285</v>
      </c>
      <c r="B21" s="5" t="s">
        <v>3290</v>
      </c>
      <c r="C21" s="5" t="s">
        <v>3291</v>
      </c>
      <c r="D21" s="5">
        <v>3.0</v>
      </c>
      <c r="E21" s="7"/>
      <c r="F21" s="5" t="b">
        <v>1</v>
      </c>
    </row>
    <row r="22">
      <c r="A22" s="5" t="s">
        <v>573</v>
      </c>
      <c r="B22" s="5" t="s">
        <v>1206</v>
      </c>
      <c r="C22" s="5" t="s">
        <v>3292</v>
      </c>
      <c r="D22" s="5">
        <v>1.0</v>
      </c>
      <c r="E22" s="7"/>
      <c r="F22" s="5" t="b">
        <v>1</v>
      </c>
    </row>
    <row r="23">
      <c r="A23" s="5" t="s">
        <v>573</v>
      </c>
      <c r="B23" s="5" t="s">
        <v>1302</v>
      </c>
      <c r="C23" s="5" t="s">
        <v>3293</v>
      </c>
      <c r="D23" s="5">
        <v>2.0</v>
      </c>
      <c r="E23" s="7"/>
      <c r="F23" s="5" t="b">
        <v>1</v>
      </c>
    </row>
    <row r="24">
      <c r="A24" s="5" t="s">
        <v>573</v>
      </c>
      <c r="B24" s="5" t="s">
        <v>1303</v>
      </c>
      <c r="C24" s="5" t="s">
        <v>3294</v>
      </c>
      <c r="D24" s="5">
        <v>3.0</v>
      </c>
      <c r="E24" s="7"/>
      <c r="F24" s="5" t="b">
        <v>1</v>
      </c>
    </row>
    <row r="25">
      <c r="A25" s="5" t="s">
        <v>573</v>
      </c>
      <c r="B25" s="5" t="s">
        <v>1207</v>
      </c>
      <c r="C25" s="5" t="s">
        <v>3295</v>
      </c>
      <c r="D25" s="5">
        <v>4.0</v>
      </c>
      <c r="E25" s="7"/>
      <c r="F25" s="5" t="b">
        <v>1</v>
      </c>
    </row>
    <row r="26">
      <c r="A26" s="5" t="s">
        <v>573</v>
      </c>
      <c r="B26" s="5" t="s">
        <v>1260</v>
      </c>
      <c r="C26" s="5" t="s">
        <v>3296</v>
      </c>
      <c r="D26" s="5">
        <v>5.0</v>
      </c>
      <c r="E26" s="7"/>
      <c r="F26" s="5" t="b">
        <v>1</v>
      </c>
    </row>
    <row r="27">
      <c r="A27" s="5" t="s">
        <v>592</v>
      </c>
      <c r="B27" s="5" t="s">
        <v>3215</v>
      </c>
      <c r="C27" s="5" t="s">
        <v>3216</v>
      </c>
      <c r="D27" s="5">
        <v>1.0</v>
      </c>
      <c r="E27" s="7"/>
      <c r="F27" s="5" t="b">
        <v>1</v>
      </c>
    </row>
    <row r="28">
      <c r="A28" s="5" t="s">
        <v>592</v>
      </c>
      <c r="B28" s="5" t="s">
        <v>3220</v>
      </c>
      <c r="C28" s="5" t="s">
        <v>3221</v>
      </c>
      <c r="D28" s="5">
        <v>2.0</v>
      </c>
      <c r="E28" s="7"/>
      <c r="F28" s="5" t="b">
        <v>1</v>
      </c>
    </row>
    <row r="29">
      <c r="A29" s="5" t="s">
        <v>592</v>
      </c>
      <c r="B29" s="5" t="s">
        <v>3223</v>
      </c>
      <c r="C29" s="5" t="s">
        <v>3224</v>
      </c>
      <c r="D29" s="5">
        <v>3.0</v>
      </c>
      <c r="E29" s="7"/>
      <c r="F29" s="5" t="b">
        <v>1</v>
      </c>
    </row>
    <row r="30">
      <c r="A30" s="5" t="s">
        <v>592</v>
      </c>
      <c r="B30" s="5" t="s">
        <v>309</v>
      </c>
      <c r="C30" s="5" t="s">
        <v>3227</v>
      </c>
      <c r="D30" s="5">
        <v>4.0</v>
      </c>
      <c r="E30" s="7"/>
      <c r="F30" s="5" t="b">
        <v>1</v>
      </c>
    </row>
    <row r="31">
      <c r="A31" s="5" t="s">
        <v>592</v>
      </c>
      <c r="B31" s="5" t="s">
        <v>444</v>
      </c>
      <c r="C31" s="5" t="s">
        <v>3230</v>
      </c>
      <c r="D31" s="5">
        <v>5.0</v>
      </c>
      <c r="E31" s="7"/>
      <c r="F31" s="5" t="b">
        <v>1</v>
      </c>
    </row>
    <row r="32">
      <c r="A32" s="5" t="s">
        <v>592</v>
      </c>
      <c r="B32" s="5" t="s">
        <v>3234</v>
      </c>
      <c r="C32" s="5" t="s">
        <v>3235</v>
      </c>
      <c r="D32" s="5">
        <v>6.0</v>
      </c>
      <c r="E32" s="7"/>
      <c r="F32" s="5" t="b">
        <v>1</v>
      </c>
    </row>
    <row r="33">
      <c r="A33" s="5" t="s">
        <v>592</v>
      </c>
      <c r="B33" s="5" t="s">
        <v>3239</v>
      </c>
      <c r="C33" s="5" t="s">
        <v>3240</v>
      </c>
      <c r="D33" s="5">
        <v>7.0</v>
      </c>
      <c r="E33" s="7"/>
      <c r="F33" s="5" t="b">
        <v>1</v>
      </c>
    </row>
    <row r="34">
      <c r="A34" s="5" t="s">
        <v>592</v>
      </c>
      <c r="B34" s="5" t="s">
        <v>3242</v>
      </c>
      <c r="C34" s="5" t="s">
        <v>3243</v>
      </c>
      <c r="D34" s="5">
        <v>8.0</v>
      </c>
      <c r="E34" s="7"/>
      <c r="F34" s="5" t="b">
        <v>1</v>
      </c>
    </row>
    <row r="35">
      <c r="A35" s="5" t="s">
        <v>592</v>
      </c>
      <c r="B35" s="5" t="s">
        <v>3247</v>
      </c>
      <c r="C35" s="5" t="s">
        <v>3248</v>
      </c>
      <c r="D35" s="5">
        <v>9.0</v>
      </c>
      <c r="E35" s="7"/>
      <c r="F35" s="5" t="b">
        <v>1</v>
      </c>
    </row>
    <row r="36">
      <c r="A36" s="5" t="s">
        <v>592</v>
      </c>
      <c r="B36" s="5" t="s">
        <v>3251</v>
      </c>
      <c r="C36" s="5" t="s">
        <v>3252</v>
      </c>
      <c r="D36" s="5">
        <v>10.0</v>
      </c>
      <c r="E36" s="7"/>
      <c r="F36" s="5" t="b">
        <v>1</v>
      </c>
    </row>
    <row r="37">
      <c r="A37" s="5" t="s">
        <v>611</v>
      </c>
      <c r="B37" s="5" t="s">
        <v>1118</v>
      </c>
      <c r="C37" s="5" t="s">
        <v>3297</v>
      </c>
      <c r="D37" s="5">
        <v>1.0</v>
      </c>
      <c r="E37" s="7"/>
      <c r="F37" s="5" t="b">
        <v>1</v>
      </c>
    </row>
    <row r="38">
      <c r="A38" s="5" t="s">
        <v>611</v>
      </c>
      <c r="B38" s="5" t="s">
        <v>3218</v>
      </c>
      <c r="C38" s="5" t="s">
        <v>3298</v>
      </c>
      <c r="D38" s="5">
        <v>2.0</v>
      </c>
      <c r="E38" s="7"/>
      <c r="F38" s="5" t="b">
        <v>1</v>
      </c>
    </row>
    <row r="39">
      <c r="A39" s="5" t="s">
        <v>611</v>
      </c>
      <c r="B39" s="5" t="s">
        <v>3232</v>
      </c>
      <c r="C39" s="5" t="s">
        <v>3299</v>
      </c>
      <c r="D39" s="5">
        <v>3.0</v>
      </c>
      <c r="E39" s="7"/>
      <c r="F39" s="5" t="b">
        <v>1</v>
      </c>
    </row>
    <row r="40">
      <c r="A40" s="5" t="s">
        <v>614</v>
      </c>
      <c r="B40" s="5" t="s">
        <v>3300</v>
      </c>
      <c r="C40" s="5" t="s">
        <v>3301</v>
      </c>
      <c r="D40" s="5">
        <v>1.0</v>
      </c>
      <c r="E40" s="7"/>
      <c r="F40" s="5" t="b">
        <v>1</v>
      </c>
    </row>
    <row r="41">
      <c r="A41" s="5" t="s">
        <v>614</v>
      </c>
      <c r="B41" s="5" t="s">
        <v>3302</v>
      </c>
      <c r="C41" s="5" t="s">
        <v>3303</v>
      </c>
      <c r="D41" s="5">
        <v>2.0</v>
      </c>
      <c r="E41" s="7"/>
      <c r="F41" s="5" t="b">
        <v>1</v>
      </c>
    </row>
    <row r="42">
      <c r="A42" s="5" t="s">
        <v>614</v>
      </c>
      <c r="B42" s="5" t="s">
        <v>3304</v>
      </c>
      <c r="C42" s="5" t="s">
        <v>3305</v>
      </c>
      <c r="D42" s="5">
        <v>3.0</v>
      </c>
      <c r="E42" s="7"/>
      <c r="F42" s="5" t="b">
        <v>1</v>
      </c>
    </row>
    <row r="43">
      <c r="A43" s="5" t="s">
        <v>614</v>
      </c>
      <c r="B43" s="5" t="s">
        <v>3306</v>
      </c>
      <c r="C43" s="5" t="s">
        <v>3307</v>
      </c>
      <c r="D43" s="5">
        <v>4.0</v>
      </c>
      <c r="E43" s="7"/>
      <c r="F43" s="5" t="b">
        <v>1</v>
      </c>
    </row>
    <row r="44">
      <c r="A44" s="5" t="s">
        <v>639</v>
      </c>
      <c r="B44" s="5" t="s">
        <v>38</v>
      </c>
      <c r="C44" s="5" t="s">
        <v>3194</v>
      </c>
      <c r="D44" s="5">
        <v>1.0</v>
      </c>
      <c r="E44" s="7"/>
      <c r="F44" s="5" t="b">
        <v>1</v>
      </c>
    </row>
    <row r="45">
      <c r="A45" s="5" t="s">
        <v>639</v>
      </c>
      <c r="B45" s="5" t="s">
        <v>3196</v>
      </c>
      <c r="C45" s="5" t="s">
        <v>3197</v>
      </c>
      <c r="D45" s="5">
        <v>2.0</v>
      </c>
      <c r="E45" s="7"/>
      <c r="F45" s="5" t="b">
        <v>1</v>
      </c>
    </row>
    <row r="46">
      <c r="A46" s="5" t="s">
        <v>639</v>
      </c>
      <c r="B46" s="5" t="s">
        <v>3199</v>
      </c>
      <c r="C46" s="5" t="s">
        <v>2200</v>
      </c>
      <c r="D46" s="5">
        <v>3.0</v>
      </c>
      <c r="E46" s="7"/>
      <c r="F46" s="5" t="b">
        <v>1</v>
      </c>
    </row>
    <row r="47">
      <c r="A47" s="5" t="s">
        <v>639</v>
      </c>
      <c r="B47" s="5" t="s">
        <v>3162</v>
      </c>
      <c r="C47" s="5" t="s">
        <v>3308</v>
      </c>
      <c r="D47" s="5">
        <v>4.0</v>
      </c>
      <c r="E47" s="7"/>
      <c r="F47" s="5" t="b">
        <v>1</v>
      </c>
    </row>
    <row r="48">
      <c r="A48" s="5" t="s">
        <v>639</v>
      </c>
      <c r="B48" s="5" t="s">
        <v>3158</v>
      </c>
      <c r="C48" s="5" t="s">
        <v>3309</v>
      </c>
      <c r="D48" s="5">
        <v>5.0</v>
      </c>
      <c r="E48" s="7"/>
      <c r="F48" s="5" t="b">
        <v>1</v>
      </c>
    </row>
    <row r="49">
      <c r="A49" s="5" t="s">
        <v>639</v>
      </c>
      <c r="B49" s="5" t="s">
        <v>3205</v>
      </c>
      <c r="C49" s="5" t="s">
        <v>3206</v>
      </c>
      <c r="D49" s="5">
        <v>6.0</v>
      </c>
      <c r="E49" s="7"/>
      <c r="F49" s="5" t="b">
        <v>1</v>
      </c>
    </row>
    <row r="50">
      <c r="A50" s="5" t="s">
        <v>650</v>
      </c>
      <c r="B50" s="5" t="s">
        <v>3196</v>
      </c>
      <c r="C50" s="5" t="s">
        <v>3197</v>
      </c>
      <c r="D50" s="5">
        <v>1.0</v>
      </c>
      <c r="E50" s="7"/>
      <c r="F50" s="5" t="b">
        <v>1</v>
      </c>
    </row>
    <row r="51">
      <c r="A51" s="5" t="s">
        <v>650</v>
      </c>
      <c r="B51" s="5" t="s">
        <v>3199</v>
      </c>
      <c r="C51" s="5" t="s">
        <v>2200</v>
      </c>
      <c r="D51" s="5">
        <v>2.0</v>
      </c>
      <c r="E51" s="7"/>
      <c r="F51" s="5" t="b">
        <v>1</v>
      </c>
    </row>
    <row r="52">
      <c r="A52" s="5" t="s">
        <v>650</v>
      </c>
      <c r="B52" s="5" t="s">
        <v>3162</v>
      </c>
      <c r="C52" s="5" t="s">
        <v>3201</v>
      </c>
      <c r="D52" s="5">
        <v>3.0</v>
      </c>
      <c r="E52" s="7"/>
      <c r="F52" s="5" t="b">
        <v>1</v>
      </c>
    </row>
    <row r="53">
      <c r="A53" s="5" t="s">
        <v>650</v>
      </c>
      <c r="B53" s="5" t="s">
        <v>3158</v>
      </c>
      <c r="C53" s="5" t="s">
        <v>3203</v>
      </c>
      <c r="D53" s="5">
        <v>4.0</v>
      </c>
      <c r="E53" s="7"/>
      <c r="F53" s="5" t="b">
        <v>1</v>
      </c>
    </row>
    <row r="54">
      <c r="A54" s="5" t="s">
        <v>664</v>
      </c>
      <c r="B54" s="5" t="s">
        <v>1201</v>
      </c>
      <c r="C54" s="5" t="s">
        <v>3310</v>
      </c>
      <c r="D54" s="5">
        <v>1.0</v>
      </c>
      <c r="E54" s="7"/>
      <c r="F54" s="5" t="b">
        <v>1</v>
      </c>
    </row>
    <row r="55">
      <c r="A55" s="5" t="s">
        <v>664</v>
      </c>
      <c r="B55" s="5" t="s">
        <v>879</v>
      </c>
      <c r="C55" s="5" t="s">
        <v>3311</v>
      </c>
      <c r="D55" s="5">
        <v>2.0</v>
      </c>
      <c r="E55" s="7"/>
      <c r="F55" s="5" t="b">
        <v>1</v>
      </c>
    </row>
    <row r="56">
      <c r="A56" s="5" t="s">
        <v>664</v>
      </c>
      <c r="B56" s="5" t="s">
        <v>1313</v>
      </c>
      <c r="C56" s="5" t="s">
        <v>3312</v>
      </c>
      <c r="D56" s="5">
        <v>3.0</v>
      </c>
      <c r="E56" s="7"/>
      <c r="F56" s="5" t="b">
        <v>1</v>
      </c>
    </row>
    <row r="57">
      <c r="A57" s="5" t="s">
        <v>664</v>
      </c>
      <c r="B57" s="5" t="s">
        <v>1316</v>
      </c>
      <c r="C57" s="5" t="s">
        <v>3313</v>
      </c>
      <c r="D57" s="5">
        <v>4.0</v>
      </c>
      <c r="E57" s="7"/>
      <c r="F57" s="5" t="b">
        <v>1</v>
      </c>
    </row>
    <row r="58">
      <c r="A58" s="5" t="s">
        <v>664</v>
      </c>
      <c r="B58" s="5" t="s">
        <v>1320</v>
      </c>
      <c r="C58" s="5" t="s">
        <v>3314</v>
      </c>
      <c r="D58" s="5">
        <v>5.0</v>
      </c>
      <c r="E58" s="7"/>
      <c r="F58" s="5" t="b">
        <v>1</v>
      </c>
    </row>
    <row r="59">
      <c r="A59" s="5" t="s">
        <v>664</v>
      </c>
      <c r="B59" s="5" t="s">
        <v>429</v>
      </c>
      <c r="C59" s="5" t="s">
        <v>3315</v>
      </c>
      <c r="D59" s="5">
        <v>6.0</v>
      </c>
      <c r="E59" s="7"/>
      <c r="F59" s="5" t="b">
        <v>1</v>
      </c>
    </row>
    <row r="60">
      <c r="A60" s="5" t="s">
        <v>664</v>
      </c>
      <c r="B60" s="5" t="s">
        <v>1298</v>
      </c>
      <c r="C60" s="5" t="s">
        <v>3316</v>
      </c>
      <c r="D60" s="5">
        <v>7.0</v>
      </c>
      <c r="E60" s="7"/>
      <c r="F60" s="5" t="b">
        <v>1</v>
      </c>
    </row>
    <row r="61">
      <c r="A61" s="5" t="s">
        <v>664</v>
      </c>
      <c r="B61" s="5" t="s">
        <v>3317</v>
      </c>
      <c r="C61" s="5" t="s">
        <v>3318</v>
      </c>
      <c r="D61" s="5">
        <v>8.0</v>
      </c>
      <c r="E61" s="7"/>
      <c r="F61" s="5" t="b">
        <v>1</v>
      </c>
    </row>
    <row r="62">
      <c r="A62" s="5" t="s">
        <v>681</v>
      </c>
      <c r="B62" s="5" t="s">
        <v>3319</v>
      </c>
      <c r="C62" s="5" t="s">
        <v>3320</v>
      </c>
      <c r="D62" s="5">
        <v>1.0</v>
      </c>
      <c r="E62" s="7"/>
      <c r="F62" s="5" t="b">
        <v>1</v>
      </c>
    </row>
    <row r="63">
      <c r="A63" s="5" t="s">
        <v>681</v>
      </c>
      <c r="B63" s="5" t="s">
        <v>3321</v>
      </c>
      <c r="C63" s="5" t="s">
        <v>3322</v>
      </c>
      <c r="D63" s="5">
        <v>2.0</v>
      </c>
      <c r="E63" s="7"/>
      <c r="F63" s="5" t="b">
        <v>1</v>
      </c>
    </row>
    <row r="64">
      <c r="A64" s="5" t="s">
        <v>681</v>
      </c>
      <c r="B64" s="5" t="s">
        <v>3323</v>
      </c>
      <c r="C64" s="5" t="s">
        <v>3324</v>
      </c>
      <c r="D64" s="5">
        <v>3.0</v>
      </c>
      <c r="E64" s="7"/>
      <c r="F64" s="5" t="b">
        <v>1</v>
      </c>
    </row>
    <row r="65">
      <c r="A65" s="5" t="s">
        <v>681</v>
      </c>
      <c r="B65" s="5" t="s">
        <v>3325</v>
      </c>
      <c r="C65" s="5" t="s">
        <v>3326</v>
      </c>
      <c r="D65" s="5">
        <v>4.0</v>
      </c>
      <c r="E65" s="7"/>
      <c r="F65" s="5" t="b">
        <v>1</v>
      </c>
    </row>
    <row r="66">
      <c r="A66" s="5" t="s">
        <v>700</v>
      </c>
      <c r="B66" s="5" t="s">
        <v>1201</v>
      </c>
      <c r="C66" s="5" t="s">
        <v>3310</v>
      </c>
      <c r="D66" s="5">
        <v>1.0</v>
      </c>
      <c r="E66" s="7"/>
      <c r="F66" s="5" t="b">
        <v>1</v>
      </c>
    </row>
    <row r="67">
      <c r="A67" s="5" t="s">
        <v>700</v>
      </c>
      <c r="B67" s="5" t="s">
        <v>1207</v>
      </c>
      <c r="C67" s="5" t="s">
        <v>3291</v>
      </c>
      <c r="D67" s="5">
        <v>2.0</v>
      </c>
      <c r="E67" s="7"/>
      <c r="F67" s="5" t="b">
        <v>1</v>
      </c>
    </row>
    <row r="68">
      <c r="A68" s="5" t="s">
        <v>700</v>
      </c>
      <c r="B68" s="5" t="s">
        <v>1302</v>
      </c>
      <c r="C68" s="5" t="s">
        <v>3327</v>
      </c>
      <c r="D68" s="5">
        <v>3.0</v>
      </c>
      <c r="E68" s="7"/>
      <c r="F68" s="5" t="b">
        <v>1</v>
      </c>
    </row>
    <row r="69">
      <c r="A69" s="5" t="s">
        <v>700</v>
      </c>
      <c r="B69" s="5" t="s">
        <v>3328</v>
      </c>
      <c r="C69" s="5" t="s">
        <v>3329</v>
      </c>
      <c r="D69" s="5">
        <v>4.0</v>
      </c>
      <c r="E69" s="7"/>
      <c r="F69" s="5" t="b">
        <v>1</v>
      </c>
    </row>
    <row r="70">
      <c r="A70" s="5" t="s">
        <v>700</v>
      </c>
      <c r="B70" s="5" t="s">
        <v>3330</v>
      </c>
      <c r="C70" s="5" t="s">
        <v>3331</v>
      </c>
      <c r="D70" s="5">
        <v>5.0</v>
      </c>
      <c r="E70" s="7"/>
      <c r="F70" s="5" t="b">
        <v>1</v>
      </c>
    </row>
    <row r="71">
      <c r="A71" s="5" t="s">
        <v>700</v>
      </c>
      <c r="B71" s="5" t="s">
        <v>3332</v>
      </c>
      <c r="C71" s="5" t="s">
        <v>3333</v>
      </c>
      <c r="D71" s="5">
        <v>6.0</v>
      </c>
      <c r="E71" s="7"/>
      <c r="F71" s="5" t="b">
        <v>1</v>
      </c>
    </row>
    <row r="72">
      <c r="A72" s="5" t="s">
        <v>714</v>
      </c>
      <c r="B72" s="5" t="s">
        <v>3330</v>
      </c>
      <c r="C72" s="5" t="s">
        <v>3331</v>
      </c>
      <c r="D72" s="5">
        <v>1.0</v>
      </c>
      <c r="E72" s="7"/>
      <c r="F72" s="5" t="b">
        <v>1</v>
      </c>
    </row>
    <row r="73">
      <c r="A73" s="5" t="s">
        <v>714</v>
      </c>
      <c r="B73" s="5" t="s">
        <v>3334</v>
      </c>
      <c r="C73" s="5" t="s">
        <v>3335</v>
      </c>
      <c r="D73" s="5">
        <v>2.0</v>
      </c>
      <c r="E73" s="7"/>
      <c r="F73" s="5" t="b">
        <v>1</v>
      </c>
    </row>
    <row r="74">
      <c r="A74" s="5" t="s">
        <v>714</v>
      </c>
      <c r="B74" s="5" t="s">
        <v>3332</v>
      </c>
      <c r="C74" s="5" t="s">
        <v>3333</v>
      </c>
      <c r="D74" s="5">
        <v>3.0</v>
      </c>
      <c r="E74" s="7"/>
      <c r="F74" s="5" t="b">
        <v>1</v>
      </c>
    </row>
    <row r="75">
      <c r="A75" s="5" t="s">
        <v>732</v>
      </c>
      <c r="B75" s="5" t="s">
        <v>849</v>
      </c>
      <c r="C75" s="5" t="s">
        <v>3336</v>
      </c>
      <c r="D75" s="5">
        <v>1.0</v>
      </c>
      <c r="E75" s="7"/>
      <c r="F75" s="5" t="b">
        <v>1</v>
      </c>
    </row>
    <row r="76">
      <c r="A76" s="5" t="s">
        <v>732</v>
      </c>
      <c r="B76" s="5" t="s">
        <v>1307</v>
      </c>
      <c r="C76" s="5" t="s">
        <v>3337</v>
      </c>
      <c r="D76" s="5">
        <v>2.0</v>
      </c>
      <c r="E76" s="7"/>
      <c r="F76" s="5" t="b">
        <v>1</v>
      </c>
    </row>
    <row r="77">
      <c r="A77" s="5" t="s">
        <v>732</v>
      </c>
      <c r="B77" s="5" t="s">
        <v>3338</v>
      </c>
      <c r="C77" s="5" t="s">
        <v>3339</v>
      </c>
      <c r="D77" s="5">
        <v>3.0</v>
      </c>
      <c r="E77" s="7"/>
      <c r="F77" s="5" t="b">
        <v>1</v>
      </c>
    </row>
    <row r="78">
      <c r="A78" s="5" t="s">
        <v>3340</v>
      </c>
      <c r="B78" s="5" t="s">
        <v>3300</v>
      </c>
      <c r="C78" s="5" t="s">
        <v>3341</v>
      </c>
      <c r="D78" s="5">
        <v>1.0</v>
      </c>
      <c r="E78" s="7"/>
      <c r="F78" s="5" t="b">
        <v>1</v>
      </c>
    </row>
    <row r="79">
      <c r="A79" s="5" t="s">
        <v>3340</v>
      </c>
      <c r="B79" s="5" t="s">
        <v>111</v>
      </c>
      <c r="C79" s="5" t="s">
        <v>3342</v>
      </c>
      <c r="D79" s="5">
        <v>2.0</v>
      </c>
      <c r="E79" s="7"/>
      <c r="F79" s="5" t="b">
        <v>1</v>
      </c>
    </row>
    <row r="80">
      <c r="A80" s="5" t="s">
        <v>3340</v>
      </c>
      <c r="B80" s="5" t="s">
        <v>137</v>
      </c>
      <c r="C80" s="5" t="s">
        <v>3343</v>
      </c>
      <c r="D80" s="5">
        <v>3.0</v>
      </c>
      <c r="E80" s="7"/>
      <c r="F80" s="5" t="b">
        <v>1</v>
      </c>
    </row>
    <row r="81">
      <c r="A81" s="5" t="s">
        <v>3340</v>
      </c>
      <c r="B81" s="5" t="s">
        <v>3344</v>
      </c>
      <c r="C81" s="5" t="s">
        <v>3345</v>
      </c>
      <c r="D81" s="5">
        <v>4.0</v>
      </c>
      <c r="E81" s="7"/>
      <c r="F81" s="5" t="b">
        <v>1</v>
      </c>
    </row>
    <row r="82">
      <c r="A82" s="5" t="s">
        <v>747</v>
      </c>
      <c r="B82" s="5" t="s">
        <v>132</v>
      </c>
      <c r="C82" s="5" t="s">
        <v>3346</v>
      </c>
      <c r="D82" s="5">
        <v>1.0</v>
      </c>
      <c r="E82" s="7"/>
      <c r="F82" s="5" t="b">
        <v>1</v>
      </c>
    </row>
    <row r="83">
      <c r="A83" s="5" t="s">
        <v>747</v>
      </c>
      <c r="B83" s="5" t="s">
        <v>137</v>
      </c>
      <c r="C83" s="5" t="s">
        <v>3343</v>
      </c>
      <c r="D83" s="5">
        <v>2.0</v>
      </c>
      <c r="E83" s="7"/>
      <c r="F83" s="5" t="b">
        <v>1</v>
      </c>
    </row>
    <row r="84">
      <c r="A84" s="5" t="s">
        <v>747</v>
      </c>
      <c r="B84" s="5" t="s">
        <v>3347</v>
      </c>
      <c r="C84" s="5" t="s">
        <v>3348</v>
      </c>
      <c r="D84" s="5">
        <v>3.0</v>
      </c>
      <c r="E84" s="7"/>
      <c r="F84" s="5" t="b">
        <v>1</v>
      </c>
    </row>
    <row r="85">
      <c r="A85" s="5" t="s">
        <v>642</v>
      </c>
      <c r="B85" s="5">
        <v>0.0</v>
      </c>
      <c r="C85" s="5" t="s">
        <v>3349</v>
      </c>
      <c r="D85" s="5">
        <v>1.0</v>
      </c>
      <c r="E85" s="7"/>
      <c r="F85" s="5" t="b">
        <v>1</v>
      </c>
    </row>
    <row r="86">
      <c r="A86" s="5" t="s">
        <v>642</v>
      </c>
      <c r="B86" s="5">
        <v>1.0</v>
      </c>
      <c r="C86" s="5" t="s">
        <v>3350</v>
      </c>
      <c r="D86" s="5">
        <v>2.0</v>
      </c>
      <c r="E86" s="7"/>
      <c r="F86" s="5" t="b">
        <v>1</v>
      </c>
    </row>
    <row r="87">
      <c r="A87" s="5" t="s">
        <v>642</v>
      </c>
      <c r="B87" s="5">
        <v>2.0</v>
      </c>
      <c r="C87" s="5" t="s">
        <v>3351</v>
      </c>
      <c r="D87" s="5">
        <v>3.0</v>
      </c>
      <c r="E87" s="7"/>
      <c r="F87" s="5" t="b">
        <v>1</v>
      </c>
    </row>
    <row r="88">
      <c r="A88" s="5" t="s">
        <v>642</v>
      </c>
      <c r="B88" s="5">
        <v>3.0</v>
      </c>
      <c r="C88" s="5" t="s">
        <v>3352</v>
      </c>
      <c r="D88" s="5">
        <v>4.0</v>
      </c>
      <c r="E88" s="7"/>
      <c r="F88" s="5" t="b">
        <v>1</v>
      </c>
    </row>
    <row r="89">
      <c r="A89" s="5" t="s">
        <v>642</v>
      </c>
      <c r="B89" s="5">
        <v>4.0</v>
      </c>
      <c r="C89" s="5" t="s">
        <v>3353</v>
      </c>
      <c r="D89" s="5">
        <v>5.0</v>
      </c>
      <c r="E89" s="7"/>
      <c r="F89" s="5" t="b">
        <v>1</v>
      </c>
    </row>
    <row r="90">
      <c r="A90" s="9" t="s">
        <v>491</v>
      </c>
      <c r="B90" s="9" t="s">
        <v>1201</v>
      </c>
      <c r="C90" s="9" t="s">
        <v>3354</v>
      </c>
      <c r="D90" s="9">
        <v>1.0</v>
      </c>
      <c r="E90" s="9" t="s">
        <v>471</v>
      </c>
      <c r="F90" s="9" t="b">
        <v>1</v>
      </c>
    </row>
    <row r="91">
      <c r="A91" s="9" t="s">
        <v>491</v>
      </c>
      <c r="B91" s="9" t="s">
        <v>1269</v>
      </c>
      <c r="C91" s="9" t="s">
        <v>3355</v>
      </c>
      <c r="D91" s="9">
        <v>2.0</v>
      </c>
      <c r="E91" s="9" t="s">
        <v>471</v>
      </c>
      <c r="F91" s="9" t="b">
        <v>1</v>
      </c>
    </row>
    <row r="92">
      <c r="A92" s="9" t="s">
        <v>491</v>
      </c>
      <c r="B92" s="9" t="s">
        <v>1272</v>
      </c>
      <c r="C92" s="9" t="s">
        <v>3356</v>
      </c>
      <c r="D92" s="9">
        <v>3.0</v>
      </c>
      <c r="E92" s="9" t="s">
        <v>471</v>
      </c>
      <c r="F92" s="9" t="b">
        <v>1</v>
      </c>
    </row>
    <row r="93">
      <c r="A93" s="9" t="s">
        <v>491</v>
      </c>
      <c r="B93" s="9" t="s">
        <v>1061</v>
      </c>
      <c r="C93" s="9" t="s">
        <v>1062</v>
      </c>
      <c r="D93" s="9">
        <v>4.0</v>
      </c>
      <c r="E93" s="9" t="s">
        <v>471</v>
      </c>
      <c r="F93" s="9" t="b">
        <v>1</v>
      </c>
    </row>
    <row r="94">
      <c r="A94" s="9" t="s">
        <v>491</v>
      </c>
      <c r="B94" s="9" t="s">
        <v>852</v>
      </c>
      <c r="C94" s="9" t="s">
        <v>3357</v>
      </c>
      <c r="D94" s="9">
        <v>5.0</v>
      </c>
      <c r="E94" s="9" t="s">
        <v>471</v>
      </c>
      <c r="F94" s="9" t="b">
        <v>1</v>
      </c>
    </row>
    <row r="95">
      <c r="A95" s="9" t="s">
        <v>491</v>
      </c>
      <c r="B95" s="9" t="s">
        <v>1282</v>
      </c>
      <c r="C95" s="9" t="s">
        <v>3358</v>
      </c>
      <c r="D95" s="9">
        <v>6.0</v>
      </c>
      <c r="E95" s="9" t="s">
        <v>471</v>
      </c>
      <c r="F95" s="9" t="b">
        <v>1</v>
      </c>
    </row>
    <row r="96">
      <c r="A96" s="9" t="s">
        <v>491</v>
      </c>
      <c r="B96" s="9" t="s">
        <v>1286</v>
      </c>
      <c r="C96" s="9" t="s">
        <v>3359</v>
      </c>
      <c r="D96" s="9">
        <v>7.0</v>
      </c>
      <c r="E96" s="9" t="s">
        <v>471</v>
      </c>
      <c r="F96" s="9" t="b">
        <v>1</v>
      </c>
    </row>
    <row r="97">
      <c r="A97" s="9" t="s">
        <v>491</v>
      </c>
      <c r="B97" s="9" t="s">
        <v>1290</v>
      </c>
      <c r="C97" s="9" t="s">
        <v>3360</v>
      </c>
      <c r="D97" s="9">
        <v>8.0</v>
      </c>
      <c r="E97" s="9" t="s">
        <v>471</v>
      </c>
      <c r="F97" s="9" t="b">
        <v>1</v>
      </c>
    </row>
    <row r="98">
      <c r="A98" s="9" t="s">
        <v>491</v>
      </c>
      <c r="B98" s="9" t="s">
        <v>423</v>
      </c>
      <c r="C98" s="9" t="s">
        <v>425</v>
      </c>
      <c r="D98" s="9">
        <v>9.0</v>
      </c>
      <c r="E98" s="9" t="s">
        <v>471</v>
      </c>
      <c r="F98" s="9" t="b">
        <v>1</v>
      </c>
    </row>
    <row r="99">
      <c r="A99" s="9" t="s">
        <v>491</v>
      </c>
      <c r="B99" s="9" t="s">
        <v>1298</v>
      </c>
      <c r="C99" s="9" t="s">
        <v>3316</v>
      </c>
      <c r="D99" s="9">
        <v>10.0</v>
      </c>
      <c r="E99" s="9" t="s">
        <v>471</v>
      </c>
      <c r="F99" s="9" t="b">
        <v>1</v>
      </c>
    </row>
    <row r="100">
      <c r="A100" s="9" t="s">
        <v>3361</v>
      </c>
      <c r="B100" s="9" t="s">
        <v>1190</v>
      </c>
      <c r="C100" s="9" t="s">
        <v>3362</v>
      </c>
      <c r="D100" s="9">
        <v>1.0</v>
      </c>
      <c r="E100" s="9" t="s">
        <v>471</v>
      </c>
      <c r="F100" s="9" t="b">
        <v>1</v>
      </c>
    </row>
    <row r="101">
      <c r="A101" s="9" t="s">
        <v>3361</v>
      </c>
      <c r="B101" s="9" t="s">
        <v>1228</v>
      </c>
      <c r="C101" s="9" t="s">
        <v>3363</v>
      </c>
      <c r="D101" s="9">
        <v>2.0</v>
      </c>
      <c r="E101" s="9" t="s">
        <v>471</v>
      </c>
      <c r="F101" s="9" t="b">
        <v>1</v>
      </c>
    </row>
    <row r="102">
      <c r="A102" s="9" t="s">
        <v>3361</v>
      </c>
      <c r="B102" s="9" t="s">
        <v>88</v>
      </c>
      <c r="C102" s="9" t="s">
        <v>3263</v>
      </c>
      <c r="D102" s="9">
        <v>3.0</v>
      </c>
      <c r="E102" s="9" t="s">
        <v>471</v>
      </c>
      <c r="F102" s="9" t="b">
        <v>1</v>
      </c>
    </row>
    <row r="103">
      <c r="A103" s="9" t="s">
        <v>3361</v>
      </c>
      <c r="B103" s="9" t="s">
        <v>1237</v>
      </c>
      <c r="C103" s="9" t="s">
        <v>3364</v>
      </c>
      <c r="D103" s="9">
        <v>4.0</v>
      </c>
      <c r="E103" s="9" t="s">
        <v>471</v>
      </c>
      <c r="F103" s="9" t="b">
        <v>1</v>
      </c>
    </row>
    <row r="104">
      <c r="A104" s="9" t="s">
        <v>539</v>
      </c>
      <c r="B104" s="9" t="s">
        <v>1196</v>
      </c>
      <c r="C104" s="9" t="s">
        <v>3365</v>
      </c>
      <c r="D104" s="9">
        <v>1.0</v>
      </c>
      <c r="E104" s="9" t="s">
        <v>471</v>
      </c>
      <c r="F104" s="9" t="b">
        <v>1</v>
      </c>
    </row>
    <row r="105">
      <c r="A105" s="9" t="s">
        <v>539</v>
      </c>
      <c r="B105" s="9" t="s">
        <v>1242</v>
      </c>
      <c r="C105" s="9" t="s">
        <v>3366</v>
      </c>
      <c r="D105" s="9">
        <v>2.0</v>
      </c>
      <c r="E105" s="9" t="s">
        <v>471</v>
      </c>
      <c r="F105" s="9" t="b">
        <v>1</v>
      </c>
    </row>
    <row r="106">
      <c r="A106" s="9" t="s">
        <v>539</v>
      </c>
      <c r="B106" s="9" t="s">
        <v>1251</v>
      </c>
      <c r="C106" s="9" t="s">
        <v>3367</v>
      </c>
      <c r="D106" s="9">
        <v>3.0</v>
      </c>
      <c r="E106" s="9" t="s">
        <v>471</v>
      </c>
      <c r="F106" s="9" t="b">
        <v>1</v>
      </c>
    </row>
    <row r="107">
      <c r="A107" s="9" t="s">
        <v>539</v>
      </c>
      <c r="B107" s="9" t="s">
        <v>1260</v>
      </c>
      <c r="C107" s="9" t="s">
        <v>3296</v>
      </c>
      <c r="D107" s="9">
        <v>4.0</v>
      </c>
      <c r="E107" s="9" t="s">
        <v>471</v>
      </c>
      <c r="F107" s="9" t="b">
        <v>1</v>
      </c>
    </row>
    <row r="108">
      <c r="A108" s="9" t="s">
        <v>539</v>
      </c>
      <c r="B108" s="9" t="s">
        <v>1207</v>
      </c>
      <c r="C108" s="9" t="s">
        <v>3291</v>
      </c>
      <c r="D108" s="9">
        <v>5.0</v>
      </c>
      <c r="E108" s="9" t="s">
        <v>471</v>
      </c>
      <c r="F108" s="9" t="b">
        <v>1</v>
      </c>
    </row>
    <row r="109">
      <c r="A109" s="9" t="s">
        <v>539</v>
      </c>
      <c r="B109" s="9" t="s">
        <v>1246</v>
      </c>
      <c r="C109" s="9" t="s">
        <v>3368</v>
      </c>
      <c r="D109" s="9">
        <v>6.0</v>
      </c>
      <c r="E109" s="9" t="s">
        <v>471</v>
      </c>
      <c r="F109" s="9" t="b">
        <v>1</v>
      </c>
    </row>
    <row r="110">
      <c r="A110" s="9" t="s">
        <v>783</v>
      </c>
      <c r="B110" s="9" t="s">
        <v>1201</v>
      </c>
      <c r="C110" s="9" t="s">
        <v>3310</v>
      </c>
      <c r="D110" s="9">
        <v>1.0</v>
      </c>
      <c r="E110" s="9" t="s">
        <v>471</v>
      </c>
      <c r="F110" s="9" t="b">
        <v>1</v>
      </c>
    </row>
    <row r="111">
      <c r="A111" s="9" t="s">
        <v>783</v>
      </c>
      <c r="B111" s="9" t="s">
        <v>1196</v>
      </c>
      <c r="C111" s="9" t="s">
        <v>3369</v>
      </c>
      <c r="D111" s="9">
        <v>2.0</v>
      </c>
      <c r="E111" s="9" t="s">
        <v>471</v>
      </c>
      <c r="F111" s="9" t="b">
        <v>1</v>
      </c>
    </row>
    <row r="112">
      <c r="A112" s="9" t="s">
        <v>783</v>
      </c>
      <c r="B112" s="9" t="s">
        <v>1336</v>
      </c>
      <c r="C112" s="9" t="s">
        <v>3370</v>
      </c>
      <c r="D112" s="9">
        <v>3.0</v>
      </c>
      <c r="E112" s="9" t="s">
        <v>471</v>
      </c>
      <c r="F112" s="9" t="b">
        <v>1</v>
      </c>
    </row>
    <row r="113">
      <c r="A113" s="9" t="s">
        <v>783</v>
      </c>
      <c r="B113" s="9" t="s">
        <v>3371</v>
      </c>
      <c r="C113" s="9" t="s">
        <v>3372</v>
      </c>
      <c r="D113" s="9">
        <v>4.0</v>
      </c>
      <c r="E113" s="9" t="s">
        <v>471</v>
      </c>
      <c r="F113" s="9" t="b">
        <v>1</v>
      </c>
    </row>
    <row r="114">
      <c r="A114" s="9" t="s">
        <v>3373</v>
      </c>
      <c r="B114" s="9" t="s">
        <v>3374</v>
      </c>
      <c r="C114" s="9" t="s">
        <v>3375</v>
      </c>
      <c r="D114" s="9">
        <v>1.0</v>
      </c>
      <c r="E114" s="9" t="s">
        <v>471</v>
      </c>
      <c r="F114" s="9" t="b">
        <v>1</v>
      </c>
    </row>
    <row r="115">
      <c r="A115" s="9" t="s">
        <v>3373</v>
      </c>
      <c r="B115" s="9" t="s">
        <v>3376</v>
      </c>
      <c r="C115" s="9" t="s">
        <v>3377</v>
      </c>
      <c r="D115" s="9">
        <v>2.0</v>
      </c>
      <c r="E115" s="9" t="s">
        <v>471</v>
      </c>
      <c r="F115" s="9" t="b">
        <v>1</v>
      </c>
    </row>
    <row r="116">
      <c r="A116" s="9" t="s">
        <v>3373</v>
      </c>
      <c r="B116" s="9" t="s">
        <v>3378</v>
      </c>
      <c r="C116" s="9" t="s">
        <v>3379</v>
      </c>
      <c r="D116" s="9">
        <v>3.0</v>
      </c>
      <c r="E116" s="9" t="s">
        <v>471</v>
      </c>
      <c r="F116" s="9" t="b">
        <v>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7.63"/>
    <col customWidth="1" min="6" max="7" width="40.13"/>
    <col customWidth="1" min="8" max="10" width="17.63"/>
  </cols>
  <sheetData>
    <row r="1">
      <c r="A1" s="14" t="s">
        <v>99</v>
      </c>
      <c r="B1" s="14" t="s">
        <v>3380</v>
      </c>
      <c r="C1" s="14" t="s">
        <v>1225</v>
      </c>
      <c r="D1" s="14" t="s">
        <v>3381</v>
      </c>
      <c r="E1" s="14" t="s">
        <v>3382</v>
      </c>
      <c r="F1" s="14" t="s">
        <v>3383</v>
      </c>
      <c r="G1" s="14" t="s">
        <v>3384</v>
      </c>
      <c r="H1" s="14" t="s">
        <v>3385</v>
      </c>
      <c r="I1" s="14" t="s">
        <v>3386</v>
      </c>
      <c r="J1" s="14" t="s">
        <v>369</v>
      </c>
    </row>
    <row r="2">
      <c r="A2" s="5" t="s">
        <v>108</v>
      </c>
      <c r="B2" s="5" t="s">
        <v>3387</v>
      </c>
      <c r="C2" s="5" t="s">
        <v>3388</v>
      </c>
      <c r="D2" s="5" t="s">
        <v>3389</v>
      </c>
      <c r="E2" s="5" t="s">
        <v>3390</v>
      </c>
      <c r="F2" s="5" t="s">
        <v>3391</v>
      </c>
      <c r="G2" s="5" t="s">
        <v>3392</v>
      </c>
      <c r="H2" s="5">
        <v>0.0</v>
      </c>
      <c r="I2" s="5" t="s">
        <v>3393</v>
      </c>
      <c r="J2" s="5" t="b">
        <v>1</v>
      </c>
    </row>
    <row r="3">
      <c r="A3" s="5" t="s">
        <v>1280</v>
      </c>
      <c r="B3" s="5" t="s">
        <v>3387</v>
      </c>
      <c r="C3" s="5" t="s">
        <v>3394</v>
      </c>
      <c r="D3" s="5" t="s">
        <v>3395</v>
      </c>
      <c r="E3" s="5" t="s">
        <v>3390</v>
      </c>
      <c r="F3" s="5" t="s">
        <v>3396</v>
      </c>
      <c r="G3" s="5" t="s">
        <v>3397</v>
      </c>
      <c r="H3" s="5">
        <v>0.0</v>
      </c>
      <c r="I3" s="5" t="s">
        <v>3398</v>
      </c>
      <c r="J3" s="5" t="b">
        <v>1</v>
      </c>
    </row>
    <row r="4">
      <c r="A4" s="5" t="s">
        <v>1305</v>
      </c>
      <c r="B4" s="5" t="s">
        <v>3399</v>
      </c>
      <c r="C4" s="7"/>
      <c r="D4" s="5" t="s">
        <v>3400</v>
      </c>
      <c r="E4" s="5" t="s">
        <v>3390</v>
      </c>
      <c r="F4" s="5" t="s">
        <v>3401</v>
      </c>
      <c r="G4" s="5" t="s">
        <v>3402</v>
      </c>
      <c r="H4" s="5">
        <v>0.0</v>
      </c>
      <c r="I4" s="5" t="s">
        <v>3393</v>
      </c>
      <c r="J4" s="5" t="b">
        <v>1</v>
      </c>
    </row>
    <row r="5">
      <c r="A5" s="5" t="s">
        <v>1314</v>
      </c>
      <c r="B5" s="5" t="s">
        <v>3403</v>
      </c>
      <c r="C5" s="5" t="s">
        <v>3404</v>
      </c>
      <c r="D5" s="5" t="s">
        <v>3405</v>
      </c>
      <c r="E5" s="5" t="s">
        <v>3390</v>
      </c>
      <c r="F5" s="5" t="s">
        <v>3406</v>
      </c>
      <c r="G5" s="5" t="s">
        <v>3407</v>
      </c>
      <c r="H5" s="5">
        <v>0.0</v>
      </c>
      <c r="I5" s="5" t="s">
        <v>3408</v>
      </c>
      <c r="J5" s="5" t="b">
        <v>1</v>
      </c>
    </row>
    <row r="6">
      <c r="A6" s="5" t="s">
        <v>1318</v>
      </c>
      <c r="B6" s="5" t="s">
        <v>3403</v>
      </c>
      <c r="C6" s="5" t="s">
        <v>3409</v>
      </c>
      <c r="D6" s="5" t="s">
        <v>3410</v>
      </c>
      <c r="E6" s="5" t="s">
        <v>3390</v>
      </c>
      <c r="F6" s="5" t="s">
        <v>3411</v>
      </c>
      <c r="G6" s="5" t="s">
        <v>3412</v>
      </c>
      <c r="H6" s="5">
        <v>0.0</v>
      </c>
      <c r="I6" s="5" t="s">
        <v>3393</v>
      </c>
      <c r="J6" s="5" t="b">
        <v>1</v>
      </c>
    </row>
    <row r="7">
      <c r="A7" s="5" t="s">
        <v>1325</v>
      </c>
      <c r="B7" s="5" t="s">
        <v>3403</v>
      </c>
      <c r="C7" s="5" t="s">
        <v>3413</v>
      </c>
      <c r="D7" s="5" t="s">
        <v>3414</v>
      </c>
      <c r="E7" s="5" t="s">
        <v>3390</v>
      </c>
      <c r="F7" s="5" t="s">
        <v>3415</v>
      </c>
      <c r="G7" s="5" t="s">
        <v>3416</v>
      </c>
      <c r="H7" s="5">
        <v>0.0</v>
      </c>
      <c r="I7" s="5" t="s">
        <v>3393</v>
      </c>
      <c r="J7" s="5" t="b">
        <v>1</v>
      </c>
    </row>
    <row r="8">
      <c r="A8" s="5" t="s">
        <v>3417</v>
      </c>
      <c r="B8" s="5" t="s">
        <v>3418</v>
      </c>
      <c r="C8" s="5" t="s">
        <v>3419</v>
      </c>
      <c r="D8" s="5" t="s">
        <v>3420</v>
      </c>
      <c r="E8" s="5" t="s">
        <v>3390</v>
      </c>
      <c r="F8" s="5" t="s">
        <v>3421</v>
      </c>
      <c r="G8" s="5" t="s">
        <v>3422</v>
      </c>
      <c r="H8" s="5">
        <v>0.0</v>
      </c>
      <c r="I8" s="5" t="s">
        <v>3423</v>
      </c>
      <c r="J8" s="5" t="b">
        <v>1</v>
      </c>
    </row>
    <row r="9">
      <c r="A9" s="5" t="s">
        <v>1328</v>
      </c>
      <c r="B9" s="5" t="s">
        <v>3403</v>
      </c>
      <c r="C9" s="5" t="s">
        <v>3424</v>
      </c>
      <c r="D9" s="5" t="s">
        <v>3425</v>
      </c>
      <c r="E9" s="5" t="s">
        <v>3390</v>
      </c>
      <c r="F9" s="5" t="s">
        <v>3426</v>
      </c>
      <c r="G9" s="5" t="s">
        <v>3427</v>
      </c>
      <c r="H9" s="5">
        <v>0.0</v>
      </c>
      <c r="I9" s="5" t="s">
        <v>3393</v>
      </c>
      <c r="J9" s="5" t="b">
        <v>1</v>
      </c>
    </row>
    <row r="10">
      <c r="A10" s="9" t="s">
        <v>1231</v>
      </c>
      <c r="B10" s="9" t="s">
        <v>3428</v>
      </c>
      <c r="C10" s="9" t="s">
        <v>3429</v>
      </c>
      <c r="D10" s="9" t="s">
        <v>3430</v>
      </c>
      <c r="E10" s="9" t="s">
        <v>3431</v>
      </c>
      <c r="F10" s="9" t="s">
        <v>3432</v>
      </c>
      <c r="G10" s="9" t="s">
        <v>3433</v>
      </c>
      <c r="H10" s="9">
        <v>0.0</v>
      </c>
      <c r="I10" s="9" t="s">
        <v>3393</v>
      </c>
      <c r="J10" s="9" t="b">
        <v>1</v>
      </c>
    </row>
    <row r="11">
      <c r="A11" s="9" t="s">
        <v>1235</v>
      </c>
      <c r="B11" s="9" t="s">
        <v>3434</v>
      </c>
      <c r="C11" s="9" t="s">
        <v>3435</v>
      </c>
      <c r="D11" s="9" t="s">
        <v>3436</v>
      </c>
      <c r="E11" s="9" t="s">
        <v>3431</v>
      </c>
      <c r="F11" s="9" t="s">
        <v>3437</v>
      </c>
      <c r="G11" s="9" t="s">
        <v>3438</v>
      </c>
      <c r="H11" s="9">
        <v>0.0</v>
      </c>
      <c r="I11" s="9" t="s">
        <v>3393</v>
      </c>
      <c r="J11" s="9" t="b">
        <v>1</v>
      </c>
    </row>
    <row r="12">
      <c r="A12" s="9" t="s">
        <v>1240</v>
      </c>
      <c r="B12" s="9" t="s">
        <v>3439</v>
      </c>
      <c r="C12" s="9" t="s">
        <v>3440</v>
      </c>
      <c r="D12" s="9" t="s">
        <v>3441</v>
      </c>
      <c r="E12" s="9" t="s">
        <v>3431</v>
      </c>
      <c r="F12" s="9" t="s">
        <v>3442</v>
      </c>
      <c r="G12" s="9" t="s">
        <v>3443</v>
      </c>
      <c r="H12" s="9">
        <v>0.0</v>
      </c>
      <c r="I12" s="9" t="s">
        <v>3393</v>
      </c>
      <c r="J12" s="9" t="b">
        <v>1</v>
      </c>
    </row>
    <row r="13">
      <c r="A13" s="9" t="s">
        <v>1275</v>
      </c>
      <c r="B13" s="9" t="s">
        <v>3387</v>
      </c>
      <c r="C13" s="9" t="s">
        <v>3444</v>
      </c>
      <c r="D13" s="9" t="s">
        <v>3445</v>
      </c>
      <c r="E13" s="9" t="s">
        <v>3431</v>
      </c>
      <c r="F13" s="9" t="s">
        <v>3446</v>
      </c>
      <c r="G13" s="9" t="s">
        <v>3447</v>
      </c>
      <c r="H13" s="9">
        <v>0.0</v>
      </c>
      <c r="I13" s="9" t="s">
        <v>3393</v>
      </c>
      <c r="J13" s="9" t="b">
        <v>1</v>
      </c>
    </row>
    <row r="14">
      <c r="A14" s="9" t="s">
        <v>114</v>
      </c>
      <c r="B14" s="9" t="s">
        <v>3448</v>
      </c>
      <c r="C14" s="9" t="s">
        <v>3449</v>
      </c>
      <c r="D14" s="9" t="s">
        <v>3436</v>
      </c>
      <c r="E14" s="9" t="s">
        <v>3431</v>
      </c>
      <c r="F14" s="9" t="s">
        <v>115</v>
      </c>
      <c r="G14" s="9" t="s">
        <v>3450</v>
      </c>
      <c r="H14" s="9">
        <v>0.0</v>
      </c>
      <c r="I14" s="9" t="s">
        <v>3451</v>
      </c>
      <c r="J14" s="9" t="b">
        <v>1</v>
      </c>
    </row>
    <row r="15">
      <c r="A15" s="9" t="s">
        <v>1254</v>
      </c>
      <c r="B15" s="9" t="s">
        <v>3452</v>
      </c>
      <c r="C15" s="9" t="s">
        <v>1160</v>
      </c>
      <c r="D15" s="9" t="s">
        <v>3453</v>
      </c>
      <c r="E15" s="9" t="s">
        <v>3431</v>
      </c>
      <c r="F15" s="9" t="s">
        <v>3454</v>
      </c>
      <c r="G15" s="9" t="s">
        <v>3455</v>
      </c>
      <c r="H15" s="9">
        <v>0.0</v>
      </c>
      <c r="I15" s="9" t="s">
        <v>3456</v>
      </c>
      <c r="J15" s="9" t="b">
        <v>1</v>
      </c>
    </row>
    <row r="16">
      <c r="A16" s="9" t="s">
        <v>1258</v>
      </c>
      <c r="B16" s="9" t="s">
        <v>3457</v>
      </c>
      <c r="C16" s="9" t="s">
        <v>3458</v>
      </c>
      <c r="D16" s="9" t="s">
        <v>3459</v>
      </c>
      <c r="E16" s="9" t="s">
        <v>3431</v>
      </c>
      <c r="F16" s="9" t="s">
        <v>3460</v>
      </c>
      <c r="G16" s="9" t="s">
        <v>3461</v>
      </c>
      <c r="H16" s="9">
        <v>0.0</v>
      </c>
      <c r="I16" s="9" t="s">
        <v>3393</v>
      </c>
      <c r="J16" s="9" t="b">
        <v>1</v>
      </c>
    </row>
    <row r="17">
      <c r="A17" s="9" t="s">
        <v>1261</v>
      </c>
      <c r="B17" s="9" t="s">
        <v>3462</v>
      </c>
      <c r="C17" s="9" t="s">
        <v>3463</v>
      </c>
      <c r="D17" s="9" t="s">
        <v>3436</v>
      </c>
      <c r="E17" s="9" t="s">
        <v>3431</v>
      </c>
      <c r="F17" s="9" t="s">
        <v>3464</v>
      </c>
      <c r="G17" s="9" t="s">
        <v>3465</v>
      </c>
      <c r="H17" s="9">
        <v>0.0</v>
      </c>
      <c r="I17" s="9" t="s">
        <v>3466</v>
      </c>
      <c r="J17" s="9" t="b">
        <v>1</v>
      </c>
    </row>
    <row r="18">
      <c r="A18" s="9" t="s">
        <v>1265</v>
      </c>
      <c r="B18" s="9" t="s">
        <v>3452</v>
      </c>
      <c r="C18" s="9" t="s">
        <v>3467</v>
      </c>
      <c r="D18" s="9" t="s">
        <v>3453</v>
      </c>
      <c r="E18" s="9" t="s">
        <v>3431</v>
      </c>
      <c r="F18" s="9" t="s">
        <v>3468</v>
      </c>
      <c r="G18" s="9" t="s">
        <v>3469</v>
      </c>
      <c r="H18" s="9">
        <v>0.0</v>
      </c>
      <c r="I18" s="9" t="s">
        <v>3393</v>
      </c>
      <c r="J18" s="9" t="b">
        <v>1</v>
      </c>
    </row>
    <row r="19">
      <c r="A19" s="9" t="s">
        <v>1249</v>
      </c>
      <c r="B19" s="9" t="s">
        <v>3470</v>
      </c>
      <c r="C19" s="9" t="s">
        <v>1075</v>
      </c>
      <c r="D19" s="9" t="s">
        <v>3471</v>
      </c>
      <c r="E19" s="9" t="s">
        <v>3431</v>
      </c>
      <c r="F19" s="9" t="s">
        <v>3472</v>
      </c>
      <c r="G19" s="9" t="s">
        <v>3473</v>
      </c>
      <c r="H19" s="9">
        <v>0.0</v>
      </c>
      <c r="I19" s="9" t="s">
        <v>3393</v>
      </c>
      <c r="J19" s="9" t="b">
        <v>1</v>
      </c>
    </row>
    <row r="20">
      <c r="A20" s="9" t="s">
        <v>1334</v>
      </c>
      <c r="B20" s="9" t="s">
        <v>3474</v>
      </c>
      <c r="C20" s="9" t="s">
        <v>3475</v>
      </c>
      <c r="D20" s="9" t="s">
        <v>3476</v>
      </c>
      <c r="E20" s="9" t="s">
        <v>3431</v>
      </c>
      <c r="F20" s="9" t="s">
        <v>3477</v>
      </c>
      <c r="G20" s="9" t="s">
        <v>3478</v>
      </c>
      <c r="H20" s="9">
        <v>0.0</v>
      </c>
      <c r="I20" s="9" t="s">
        <v>3393</v>
      </c>
      <c r="J20" s="9" t="b">
        <v>1</v>
      </c>
    </row>
    <row r="21">
      <c r="A21" s="9" t="s">
        <v>1339</v>
      </c>
      <c r="B21" s="9" t="s">
        <v>3479</v>
      </c>
      <c r="C21" s="9" t="s">
        <v>3480</v>
      </c>
      <c r="D21" s="9" t="s">
        <v>3481</v>
      </c>
      <c r="E21" s="9" t="s">
        <v>3431</v>
      </c>
      <c r="F21" s="9" t="s">
        <v>3482</v>
      </c>
      <c r="G21" s="9" t="s">
        <v>3483</v>
      </c>
      <c r="H21" s="9">
        <v>0.0</v>
      </c>
      <c r="I21" s="9" t="s">
        <v>3393</v>
      </c>
      <c r="J21" s="9" t="b">
        <v>1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7.63"/>
  </cols>
  <sheetData>
    <row r="1">
      <c r="A1" s="14" t="s">
        <v>3484</v>
      </c>
      <c r="B1" s="14" t="s">
        <v>3485</v>
      </c>
      <c r="C1" s="14" t="s">
        <v>121</v>
      </c>
      <c r="D1" s="14" t="s">
        <v>3486</v>
      </c>
      <c r="E1" s="14" t="s">
        <v>3487</v>
      </c>
      <c r="F1" s="14" t="s">
        <v>3488</v>
      </c>
      <c r="G1" s="14" t="s">
        <v>210</v>
      </c>
      <c r="H1" s="14" t="s">
        <v>369</v>
      </c>
    </row>
    <row r="2">
      <c r="A2" s="5" t="s">
        <v>129</v>
      </c>
      <c r="B2" s="5" t="s">
        <v>3489</v>
      </c>
      <c r="C2" s="5" t="s">
        <v>75</v>
      </c>
      <c r="D2" s="5" t="b">
        <v>1</v>
      </c>
      <c r="E2" s="5" t="s">
        <v>1807</v>
      </c>
      <c r="F2" s="5" t="s">
        <v>3490</v>
      </c>
      <c r="G2" s="5" t="s">
        <v>3491</v>
      </c>
      <c r="H2" s="5" t="b">
        <v>1</v>
      </c>
    </row>
    <row r="3">
      <c r="A3" s="5" t="s">
        <v>3492</v>
      </c>
      <c r="B3" s="5" t="s">
        <v>3493</v>
      </c>
      <c r="C3" s="5" t="s">
        <v>827</v>
      </c>
      <c r="D3" s="5" t="b">
        <v>1</v>
      </c>
      <c r="E3" s="5" t="s">
        <v>3494</v>
      </c>
      <c r="F3" s="5" t="s">
        <v>3490</v>
      </c>
      <c r="G3" s="5" t="s">
        <v>3495</v>
      </c>
      <c r="H3" s="5" t="b">
        <v>1</v>
      </c>
    </row>
    <row r="4">
      <c r="A4" s="5" t="s">
        <v>3496</v>
      </c>
      <c r="B4" s="5" t="s">
        <v>3497</v>
      </c>
      <c r="C4" s="5" t="s">
        <v>180</v>
      </c>
      <c r="D4" s="5" t="b">
        <v>1</v>
      </c>
      <c r="E4" s="5" t="s">
        <v>3498</v>
      </c>
      <c r="F4" s="5" t="s">
        <v>3499</v>
      </c>
      <c r="G4" s="5" t="s">
        <v>3500</v>
      </c>
      <c r="H4" s="5" t="b">
        <v>1</v>
      </c>
    </row>
    <row r="5">
      <c r="A5" s="5" t="s">
        <v>3387</v>
      </c>
      <c r="B5" s="5" t="s">
        <v>3501</v>
      </c>
      <c r="C5" s="5" t="s">
        <v>180</v>
      </c>
      <c r="D5" s="5" t="b">
        <v>1</v>
      </c>
      <c r="E5" s="5" t="s">
        <v>3502</v>
      </c>
      <c r="F5" s="5" t="s">
        <v>314</v>
      </c>
      <c r="G5" s="5" t="s">
        <v>3503</v>
      </c>
      <c r="H5" s="5" t="b">
        <v>1</v>
      </c>
    </row>
    <row r="6">
      <c r="A6" s="5" t="s">
        <v>3504</v>
      </c>
      <c r="B6" s="5" t="s">
        <v>3505</v>
      </c>
      <c r="C6" s="5" t="s">
        <v>262</v>
      </c>
      <c r="D6" s="5" t="b">
        <v>1</v>
      </c>
      <c r="E6" s="5" t="s">
        <v>262</v>
      </c>
      <c r="F6" s="5" t="s">
        <v>3499</v>
      </c>
      <c r="G6" s="5" t="s">
        <v>3506</v>
      </c>
      <c r="H6" s="5" t="b">
        <v>1</v>
      </c>
    </row>
    <row r="7">
      <c r="A7" s="5" t="s">
        <v>3507</v>
      </c>
      <c r="B7" s="5" t="s">
        <v>3508</v>
      </c>
      <c r="C7" s="5" t="s">
        <v>416</v>
      </c>
      <c r="D7" s="5" t="b">
        <v>1</v>
      </c>
      <c r="E7" s="5" t="s">
        <v>3509</v>
      </c>
      <c r="F7" s="5" t="s">
        <v>3499</v>
      </c>
      <c r="G7" s="5" t="s">
        <v>3510</v>
      </c>
      <c r="H7" s="5" t="b">
        <v>1</v>
      </c>
    </row>
    <row r="8">
      <c r="A8" s="5" t="s">
        <v>3511</v>
      </c>
      <c r="B8" s="5" t="s">
        <v>3512</v>
      </c>
      <c r="C8" s="5" t="s">
        <v>1215</v>
      </c>
      <c r="D8" s="5" t="b">
        <v>1</v>
      </c>
      <c r="E8" s="5" t="s">
        <v>3513</v>
      </c>
      <c r="F8" s="5" t="s">
        <v>314</v>
      </c>
      <c r="G8" s="5" t="s">
        <v>3514</v>
      </c>
      <c r="H8" s="5" t="b">
        <v>1</v>
      </c>
    </row>
    <row r="9">
      <c r="A9" s="5" t="s">
        <v>3515</v>
      </c>
      <c r="B9" s="5" t="s">
        <v>3516</v>
      </c>
      <c r="C9" s="5" t="s">
        <v>429</v>
      </c>
      <c r="D9" s="5" t="b">
        <v>1</v>
      </c>
      <c r="E9" s="5" t="s">
        <v>3517</v>
      </c>
      <c r="F9" s="5" t="s">
        <v>314</v>
      </c>
      <c r="G9" s="5" t="s">
        <v>3518</v>
      </c>
      <c r="H9" s="5" t="b">
        <v>1</v>
      </c>
    </row>
    <row r="10">
      <c r="A10" s="5" t="s">
        <v>3418</v>
      </c>
      <c r="B10" s="5" t="s">
        <v>3519</v>
      </c>
      <c r="C10" s="5" t="s">
        <v>75</v>
      </c>
      <c r="D10" s="5" t="b">
        <v>1</v>
      </c>
      <c r="E10" s="5" t="s">
        <v>3520</v>
      </c>
      <c r="F10" s="5" t="s">
        <v>3521</v>
      </c>
      <c r="G10" s="5" t="s">
        <v>3522</v>
      </c>
      <c r="H10" s="5" t="b">
        <v>1</v>
      </c>
    </row>
    <row r="11">
      <c r="A11" s="9" t="s">
        <v>3428</v>
      </c>
      <c r="B11" s="9" t="s">
        <v>3523</v>
      </c>
      <c r="C11" s="9" t="s">
        <v>922</v>
      </c>
      <c r="D11" s="9" t="b">
        <v>1</v>
      </c>
      <c r="E11" s="9" t="s">
        <v>3524</v>
      </c>
      <c r="F11" s="9" t="s">
        <v>314</v>
      </c>
      <c r="G11" s="9" t="s">
        <v>3525</v>
      </c>
      <c r="H11" s="9" t="b">
        <v>1</v>
      </c>
    </row>
    <row r="12">
      <c r="A12" s="9" t="s">
        <v>3434</v>
      </c>
      <c r="B12" s="9" t="s">
        <v>3526</v>
      </c>
      <c r="C12" s="9" t="s">
        <v>922</v>
      </c>
      <c r="D12" s="9" t="b">
        <v>1</v>
      </c>
      <c r="E12" s="9" t="s">
        <v>3527</v>
      </c>
      <c r="F12" s="9" t="s">
        <v>314</v>
      </c>
      <c r="G12" s="9" t="s">
        <v>3528</v>
      </c>
      <c r="H12" s="9" t="b">
        <v>1</v>
      </c>
    </row>
    <row r="13">
      <c r="A13" s="9" t="s">
        <v>3529</v>
      </c>
      <c r="B13" s="9" t="s">
        <v>3530</v>
      </c>
      <c r="C13" s="9" t="s">
        <v>1195</v>
      </c>
      <c r="D13" s="9" t="b">
        <v>1</v>
      </c>
      <c r="E13" s="9" t="s">
        <v>381</v>
      </c>
      <c r="F13" s="9" t="s">
        <v>314</v>
      </c>
      <c r="G13" s="9" t="s">
        <v>3531</v>
      </c>
      <c r="H13" s="9" t="b">
        <v>1</v>
      </c>
    </row>
    <row r="14">
      <c r="A14" s="9" t="s">
        <v>3448</v>
      </c>
      <c r="B14" s="9" t="s">
        <v>3532</v>
      </c>
      <c r="C14" s="9" t="s">
        <v>1195</v>
      </c>
      <c r="D14" s="9" t="b">
        <v>1</v>
      </c>
      <c r="E14" s="9" t="s">
        <v>381</v>
      </c>
      <c r="F14" s="9" t="s">
        <v>314</v>
      </c>
      <c r="G14" s="9" t="s">
        <v>3533</v>
      </c>
      <c r="H14" s="9" t="b">
        <v>1</v>
      </c>
    </row>
    <row r="15">
      <c r="A15" s="9" t="s">
        <v>3452</v>
      </c>
      <c r="B15" s="9" t="s">
        <v>3534</v>
      </c>
      <c r="C15" s="9" t="s">
        <v>1195</v>
      </c>
      <c r="D15" s="9" t="b">
        <v>1</v>
      </c>
      <c r="E15" s="9" t="s">
        <v>3535</v>
      </c>
      <c r="F15" s="9" t="s">
        <v>314</v>
      </c>
      <c r="G15" s="9" t="s">
        <v>3536</v>
      </c>
      <c r="H15" s="9" t="b">
        <v>1</v>
      </c>
    </row>
    <row r="16">
      <c r="A16" s="9" t="s">
        <v>3457</v>
      </c>
      <c r="B16" s="9" t="s">
        <v>3460</v>
      </c>
      <c r="C16" s="9" t="s">
        <v>1195</v>
      </c>
      <c r="D16" s="9" t="b">
        <v>1</v>
      </c>
      <c r="E16" s="9" t="s">
        <v>3535</v>
      </c>
      <c r="F16" s="9" t="s">
        <v>314</v>
      </c>
      <c r="G16" s="9" t="s">
        <v>3537</v>
      </c>
      <c r="H16" s="9" t="b">
        <v>1</v>
      </c>
    </row>
    <row r="17">
      <c r="A17" s="9" t="s">
        <v>3462</v>
      </c>
      <c r="B17" s="9" t="s">
        <v>3538</v>
      </c>
      <c r="C17" s="9" t="s">
        <v>1195</v>
      </c>
      <c r="D17" s="9" t="b">
        <v>1</v>
      </c>
      <c r="E17" s="9" t="s">
        <v>3535</v>
      </c>
      <c r="F17" s="9" t="s">
        <v>314</v>
      </c>
      <c r="G17" s="9" t="s">
        <v>3539</v>
      </c>
      <c r="H17" s="9" t="b">
        <v>1</v>
      </c>
    </row>
    <row r="18">
      <c r="A18" s="9" t="s">
        <v>3470</v>
      </c>
      <c r="B18" s="9" t="s">
        <v>3540</v>
      </c>
      <c r="C18" s="9" t="s">
        <v>1195</v>
      </c>
      <c r="D18" s="9" t="b">
        <v>1</v>
      </c>
      <c r="E18" s="9" t="s">
        <v>3541</v>
      </c>
      <c r="F18" s="9" t="s">
        <v>314</v>
      </c>
      <c r="G18" s="9" t="s">
        <v>3542</v>
      </c>
      <c r="H18" s="9" t="b">
        <v>1</v>
      </c>
    </row>
    <row r="19">
      <c r="A19" s="9" t="s">
        <v>3474</v>
      </c>
      <c r="B19" s="9" t="s">
        <v>3543</v>
      </c>
      <c r="C19" s="9" t="s">
        <v>1179</v>
      </c>
      <c r="D19" s="9" t="b">
        <v>1</v>
      </c>
      <c r="E19" s="9" t="s">
        <v>457</v>
      </c>
      <c r="F19" s="9" t="s">
        <v>314</v>
      </c>
      <c r="G19" s="9" t="s">
        <v>3544</v>
      </c>
      <c r="H19" s="9" t="b">
        <v>1</v>
      </c>
    </row>
    <row r="20">
      <c r="A20" s="9" t="s">
        <v>3545</v>
      </c>
      <c r="B20" s="9" t="s">
        <v>3546</v>
      </c>
      <c r="C20" s="9" t="s">
        <v>953</v>
      </c>
      <c r="D20" s="9" t="b">
        <v>1</v>
      </c>
      <c r="E20" s="9" t="s">
        <v>140</v>
      </c>
      <c r="F20" s="9" t="s">
        <v>3490</v>
      </c>
      <c r="G20" s="9" t="s">
        <v>3547</v>
      </c>
      <c r="H20" s="9" t="b">
        <v>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3.88"/>
    <col customWidth="1" min="5" max="5" width="18.88"/>
    <col customWidth="1" min="6" max="6" width="30.13"/>
    <col customWidth="1" min="7" max="7" width="27.63"/>
    <col customWidth="1" min="8" max="8" width="15.13"/>
    <col customWidth="1" min="9" max="9" width="12.63"/>
    <col customWidth="1" min="10" max="10" width="16.38"/>
    <col customWidth="1" min="11" max="11" width="13.88"/>
    <col customWidth="1" min="12" max="12" width="8.88"/>
  </cols>
  <sheetData>
    <row r="1" ht="27.0" customHeight="1">
      <c r="A1" s="20" t="s">
        <v>3548</v>
      </c>
      <c r="B1" s="20" t="s">
        <v>1932</v>
      </c>
      <c r="C1" s="20" t="s">
        <v>511</v>
      </c>
      <c r="D1" s="20" t="s">
        <v>818</v>
      </c>
      <c r="E1" s="20" t="s">
        <v>3549</v>
      </c>
      <c r="F1" s="20" t="s">
        <v>3550</v>
      </c>
      <c r="G1" s="20" t="s">
        <v>3551</v>
      </c>
      <c r="H1" s="20" t="s">
        <v>522</v>
      </c>
      <c r="I1" s="20" t="s">
        <v>1801</v>
      </c>
      <c r="J1" s="20" t="s">
        <v>3552</v>
      </c>
      <c r="K1" s="20" t="s">
        <v>3553</v>
      </c>
      <c r="L1" s="20" t="s">
        <v>369</v>
      </c>
    </row>
    <row r="2">
      <c r="A2" s="7" t="str">
        <f t="array" ref="A2:A251">IF('17_QUESTION_BANK'!A2:A251="","","MAP-"&amp;TEXT(ROW('17_QUESTION_BANK'!A2:A251)-1,"0000"))</f>
        <v>MAP-0001</v>
      </c>
      <c r="B2" s="7" t="str">
        <f t="array" ref="B2:B251">'17_QUESTION_BANK'!A2:A251</f>
        <v>Q-0001</v>
      </c>
      <c r="C2" s="7" t="str">
        <f t="array" ref="C2:C251">'17_QUESTION_BANK'!B2:B251</f>
        <v>U-GOV-01</v>
      </c>
      <c r="D2" s="7" t="str">
        <f t="array" ref="D2:D251">'17_QUESTION_BANK'!C2:C251</f>
        <v>GOV</v>
      </c>
      <c r="E2" s="7" t="str">
        <f t="array" ref="E2:E251">IF(D2:D251="","",IFERROR(VLOOKUP(D2:D251,'28_INTERNAL_STANDARDS'!A2:N26,2,FALSE),""))</f>
        <v>SI-GOV-01</v>
      </c>
      <c r="F2" s="7" t="str">
        <f t="array" ref="F2:F251">IF(D2:D251="","",IFERROR(VLOOKUP(D2:D251,'28_INTERNAL_STANDARDS'!A2:N26,3,FALSE),""))</f>
        <v>Standar Tata Kelola, Mandat, dan Akuntabilitas Unit</v>
      </c>
      <c r="G2" s="7" t="str">
        <f t="array" ref="G2:G251">IF(D2:D251="","",IFERROR(VLOOKUP(D2:D251,'28_INTERNAL_STANDARDS'!A2:N26,5,FALSE),""))</f>
        <v>Pasal 31-34; Pasal 64; Pasal 65 ayat (4); Pasal 67-68</v>
      </c>
      <c r="H2" s="7">
        <f t="array" ref="H2:H251">'17_QUESTION_BANK'!F2:F251</f>
        <v>5.3</v>
      </c>
      <c r="I2" s="7" t="str">
        <f t="array" ref="I2:I251">IF(B2:B251="","",IF((E2:E251&lt;&gt;"")*(G2:G251&lt;&gt;"")*(H2:H251&lt;&gt;""),"COMPLETE","REVIEW"))</f>
        <v>COMPLETE</v>
      </c>
      <c r="J2" s="7" t="str">
        <f t="array" ref="J2:J251">IF(B2:B251="","","SYSTEM_MATRIX")</f>
        <v>SYSTEM_MATRIX</v>
      </c>
      <c r="K2" s="28">
        <f t="array" ref="K2:K251">IF(B2:B251="","",DATE(2026,7,19))</f>
        <v>46222</v>
      </c>
      <c r="L2" s="7" t="b">
        <f t="array" ref="L2:L251">IF(B2:B251="","",TRUE)</f>
        <v>1</v>
      </c>
    </row>
    <row r="3">
      <c r="A3" s="7" t="s">
        <v>3554</v>
      </c>
      <c r="B3" s="7" t="s">
        <v>1945</v>
      </c>
      <c r="C3" s="7" t="s">
        <v>1946</v>
      </c>
      <c r="D3" s="7" t="s">
        <v>1939</v>
      </c>
      <c r="E3" s="7" t="s">
        <v>3555</v>
      </c>
      <c r="F3" s="7" t="s">
        <v>3556</v>
      </c>
      <c r="G3" s="7" t="s">
        <v>3557</v>
      </c>
      <c r="H3" s="7">
        <v>5.3</v>
      </c>
      <c r="I3" s="7" t="s">
        <v>3558</v>
      </c>
      <c r="J3" s="7" t="s">
        <v>3559</v>
      </c>
      <c r="K3" s="28">
        <v>46222.0</v>
      </c>
      <c r="L3" s="7" t="b">
        <v>1</v>
      </c>
    </row>
    <row r="4">
      <c r="A4" s="7" t="s">
        <v>3560</v>
      </c>
      <c r="B4" s="7" t="s">
        <v>1950</v>
      </c>
      <c r="C4" s="7" t="s">
        <v>1951</v>
      </c>
      <c r="D4" s="7" t="s">
        <v>1939</v>
      </c>
      <c r="E4" s="7" t="s">
        <v>3555</v>
      </c>
      <c r="F4" s="7" t="s">
        <v>3556</v>
      </c>
      <c r="G4" s="7" t="s">
        <v>3557</v>
      </c>
      <c r="H4" s="7">
        <v>4.4</v>
      </c>
      <c r="I4" s="7" t="s">
        <v>3558</v>
      </c>
      <c r="J4" s="7" t="s">
        <v>3559</v>
      </c>
      <c r="K4" s="28">
        <v>46222.0</v>
      </c>
      <c r="L4" s="7" t="b">
        <v>1</v>
      </c>
    </row>
    <row r="5">
      <c r="A5" s="7" t="s">
        <v>3561</v>
      </c>
      <c r="B5" s="7" t="s">
        <v>1956</v>
      </c>
      <c r="C5" s="7" t="s">
        <v>1957</v>
      </c>
      <c r="D5" s="7" t="s">
        <v>1939</v>
      </c>
      <c r="E5" s="7" t="s">
        <v>3555</v>
      </c>
      <c r="F5" s="7" t="s">
        <v>3556</v>
      </c>
      <c r="G5" s="7" t="s">
        <v>3557</v>
      </c>
      <c r="H5" s="7">
        <v>4.4</v>
      </c>
      <c r="I5" s="7" t="s">
        <v>3558</v>
      </c>
      <c r="J5" s="7" t="s">
        <v>3559</v>
      </c>
      <c r="K5" s="28">
        <v>46222.0</v>
      </c>
      <c r="L5" s="7" t="b">
        <v>1</v>
      </c>
    </row>
    <row r="6">
      <c r="A6" s="7" t="s">
        <v>3562</v>
      </c>
      <c r="B6" s="7" t="s">
        <v>1961</v>
      </c>
      <c r="C6" s="7" t="s">
        <v>1962</v>
      </c>
      <c r="D6" s="7" t="s">
        <v>1939</v>
      </c>
      <c r="E6" s="7" t="s">
        <v>3555</v>
      </c>
      <c r="F6" s="7" t="s">
        <v>3556</v>
      </c>
      <c r="G6" s="7" t="s">
        <v>3557</v>
      </c>
      <c r="H6" s="7">
        <v>6.2</v>
      </c>
      <c r="I6" s="7" t="s">
        <v>3558</v>
      </c>
      <c r="J6" s="7" t="s">
        <v>3559</v>
      </c>
      <c r="K6" s="28">
        <v>46222.0</v>
      </c>
      <c r="L6" s="7" t="b">
        <v>1</v>
      </c>
    </row>
    <row r="7">
      <c r="A7" s="7" t="s">
        <v>3563</v>
      </c>
      <c r="B7" s="7" t="s">
        <v>1967</v>
      </c>
      <c r="C7" s="7" t="s">
        <v>1968</v>
      </c>
      <c r="D7" s="7" t="s">
        <v>1939</v>
      </c>
      <c r="E7" s="7" t="s">
        <v>3555</v>
      </c>
      <c r="F7" s="7" t="s">
        <v>3556</v>
      </c>
      <c r="G7" s="7" t="s">
        <v>3557</v>
      </c>
      <c r="H7" s="7">
        <v>6.2</v>
      </c>
      <c r="I7" s="7" t="s">
        <v>3558</v>
      </c>
      <c r="J7" s="7" t="s">
        <v>3559</v>
      </c>
      <c r="K7" s="28">
        <v>46222.0</v>
      </c>
      <c r="L7" s="7" t="b">
        <v>1</v>
      </c>
    </row>
    <row r="8">
      <c r="A8" s="7" t="s">
        <v>3564</v>
      </c>
      <c r="B8" s="7" t="s">
        <v>1973</v>
      </c>
      <c r="C8" s="7" t="s">
        <v>1974</v>
      </c>
      <c r="D8" s="7" t="s">
        <v>1939</v>
      </c>
      <c r="E8" s="7" t="s">
        <v>3555</v>
      </c>
      <c r="F8" s="7" t="s">
        <v>3556</v>
      </c>
      <c r="G8" s="7" t="s">
        <v>3557</v>
      </c>
      <c r="H8" s="7" t="s">
        <v>1760</v>
      </c>
      <c r="I8" s="7" t="s">
        <v>3558</v>
      </c>
      <c r="J8" s="7" t="s">
        <v>3559</v>
      </c>
      <c r="K8" s="28">
        <v>46222.0</v>
      </c>
      <c r="L8" s="7" t="b">
        <v>1</v>
      </c>
    </row>
    <row r="9">
      <c r="A9" s="7" t="s">
        <v>3565</v>
      </c>
      <c r="B9" s="7" t="s">
        <v>1979</v>
      </c>
      <c r="C9" s="7" t="s">
        <v>1980</v>
      </c>
      <c r="D9" s="7" t="s">
        <v>1939</v>
      </c>
      <c r="E9" s="7" t="s">
        <v>3555</v>
      </c>
      <c r="F9" s="7" t="s">
        <v>3556</v>
      </c>
      <c r="G9" s="7" t="s">
        <v>3557</v>
      </c>
      <c r="H9" s="7" t="s">
        <v>1983</v>
      </c>
      <c r="I9" s="7" t="s">
        <v>3558</v>
      </c>
      <c r="J9" s="7" t="s">
        <v>3559</v>
      </c>
      <c r="K9" s="28">
        <v>46222.0</v>
      </c>
      <c r="L9" s="7" t="b">
        <v>1</v>
      </c>
    </row>
    <row r="10">
      <c r="A10" s="7" t="s">
        <v>3566</v>
      </c>
      <c r="B10" s="7" t="s">
        <v>1985</v>
      </c>
      <c r="C10" s="7" t="s">
        <v>1986</v>
      </c>
      <c r="D10" s="7" t="s">
        <v>1939</v>
      </c>
      <c r="E10" s="7" t="s">
        <v>3555</v>
      </c>
      <c r="F10" s="7" t="s">
        <v>3556</v>
      </c>
      <c r="G10" s="7" t="s">
        <v>3557</v>
      </c>
      <c r="H10" s="7">
        <v>6.1</v>
      </c>
      <c r="I10" s="7" t="s">
        <v>3558</v>
      </c>
      <c r="J10" s="7" t="s">
        <v>3559</v>
      </c>
      <c r="K10" s="28">
        <v>46222.0</v>
      </c>
      <c r="L10" s="7" t="b">
        <v>1</v>
      </c>
    </row>
    <row r="11">
      <c r="A11" s="7" t="s">
        <v>3567</v>
      </c>
      <c r="B11" s="7" t="s">
        <v>1990</v>
      </c>
      <c r="C11" s="7" t="s">
        <v>1991</v>
      </c>
      <c r="D11" s="7" t="s">
        <v>1939</v>
      </c>
      <c r="E11" s="7" t="s">
        <v>3555</v>
      </c>
      <c r="F11" s="7" t="s">
        <v>3556</v>
      </c>
      <c r="G11" s="7" t="s">
        <v>3557</v>
      </c>
      <c r="H11" s="7" t="s">
        <v>1994</v>
      </c>
      <c r="I11" s="7" t="s">
        <v>3558</v>
      </c>
      <c r="J11" s="7" t="s">
        <v>3559</v>
      </c>
      <c r="K11" s="28">
        <v>46222.0</v>
      </c>
      <c r="L11" s="7" t="b">
        <v>1</v>
      </c>
    </row>
    <row r="12">
      <c r="A12" s="7" t="s">
        <v>3568</v>
      </c>
      <c r="B12" s="7" t="s">
        <v>1996</v>
      </c>
      <c r="C12" s="7" t="s">
        <v>1997</v>
      </c>
      <c r="D12" s="7" t="s">
        <v>1998</v>
      </c>
      <c r="E12" s="7" t="s">
        <v>3569</v>
      </c>
      <c r="F12" s="7" t="s">
        <v>3570</v>
      </c>
      <c r="G12" s="7" t="s">
        <v>3571</v>
      </c>
      <c r="H12" s="7" t="s">
        <v>1691</v>
      </c>
      <c r="I12" s="7" t="s">
        <v>3558</v>
      </c>
      <c r="J12" s="7" t="s">
        <v>3559</v>
      </c>
      <c r="K12" s="28">
        <v>46222.0</v>
      </c>
      <c r="L12" s="7" t="b">
        <v>1</v>
      </c>
    </row>
    <row r="13">
      <c r="A13" s="7" t="s">
        <v>3572</v>
      </c>
      <c r="B13" s="7" t="s">
        <v>2002</v>
      </c>
      <c r="C13" s="7" t="s">
        <v>2003</v>
      </c>
      <c r="D13" s="7" t="s">
        <v>1998</v>
      </c>
      <c r="E13" s="7" t="s">
        <v>3569</v>
      </c>
      <c r="F13" s="7" t="s">
        <v>3570</v>
      </c>
      <c r="G13" s="7" t="s">
        <v>3571</v>
      </c>
      <c r="H13" s="7" t="s">
        <v>1696</v>
      </c>
      <c r="I13" s="7" t="s">
        <v>3558</v>
      </c>
      <c r="J13" s="7" t="s">
        <v>3559</v>
      </c>
      <c r="K13" s="28">
        <v>46222.0</v>
      </c>
      <c r="L13" s="7" t="b">
        <v>1</v>
      </c>
    </row>
    <row r="14">
      <c r="A14" s="7" t="s">
        <v>3573</v>
      </c>
      <c r="B14" s="7" t="s">
        <v>2008</v>
      </c>
      <c r="C14" s="7" t="s">
        <v>2009</v>
      </c>
      <c r="D14" s="7" t="s">
        <v>1998</v>
      </c>
      <c r="E14" s="7" t="s">
        <v>3569</v>
      </c>
      <c r="F14" s="7" t="s">
        <v>3570</v>
      </c>
      <c r="G14" s="7" t="s">
        <v>3571</v>
      </c>
      <c r="H14" s="7" t="s">
        <v>1701</v>
      </c>
      <c r="I14" s="7" t="s">
        <v>3558</v>
      </c>
      <c r="J14" s="7" t="s">
        <v>3559</v>
      </c>
      <c r="K14" s="28">
        <v>46222.0</v>
      </c>
      <c r="L14" s="7" t="b">
        <v>1</v>
      </c>
    </row>
    <row r="15">
      <c r="A15" s="7" t="s">
        <v>3574</v>
      </c>
      <c r="B15" s="7" t="s">
        <v>2014</v>
      </c>
      <c r="C15" s="7" t="s">
        <v>2015</v>
      </c>
      <c r="D15" s="7" t="s">
        <v>1998</v>
      </c>
      <c r="E15" s="7" t="s">
        <v>3569</v>
      </c>
      <c r="F15" s="7" t="s">
        <v>3570</v>
      </c>
      <c r="G15" s="7" t="s">
        <v>3571</v>
      </c>
      <c r="H15" s="7" t="s">
        <v>1701</v>
      </c>
      <c r="I15" s="7" t="s">
        <v>3558</v>
      </c>
      <c r="J15" s="7" t="s">
        <v>3559</v>
      </c>
      <c r="K15" s="28">
        <v>46222.0</v>
      </c>
      <c r="L15" s="7" t="b">
        <v>1</v>
      </c>
    </row>
    <row r="16">
      <c r="A16" s="7" t="s">
        <v>3575</v>
      </c>
      <c r="B16" s="7" t="s">
        <v>2019</v>
      </c>
      <c r="C16" s="7" t="s">
        <v>2020</v>
      </c>
      <c r="D16" s="7" t="s">
        <v>1998</v>
      </c>
      <c r="E16" s="7" t="s">
        <v>3569</v>
      </c>
      <c r="F16" s="7" t="s">
        <v>3570</v>
      </c>
      <c r="G16" s="7" t="s">
        <v>3571</v>
      </c>
      <c r="H16" s="7" t="s">
        <v>1701</v>
      </c>
      <c r="I16" s="7" t="s">
        <v>3558</v>
      </c>
      <c r="J16" s="7" t="s">
        <v>3559</v>
      </c>
      <c r="K16" s="28">
        <v>46222.0</v>
      </c>
      <c r="L16" s="7" t="b">
        <v>1</v>
      </c>
    </row>
    <row r="17">
      <c r="A17" s="7" t="s">
        <v>3576</v>
      </c>
      <c r="B17" s="7" t="s">
        <v>2024</v>
      </c>
      <c r="C17" s="7" t="s">
        <v>2025</v>
      </c>
      <c r="D17" s="7" t="s">
        <v>1998</v>
      </c>
      <c r="E17" s="7" t="s">
        <v>3569</v>
      </c>
      <c r="F17" s="7" t="s">
        <v>3570</v>
      </c>
      <c r="G17" s="7" t="s">
        <v>3571</v>
      </c>
      <c r="H17" s="7" t="s">
        <v>1701</v>
      </c>
      <c r="I17" s="7" t="s">
        <v>3558</v>
      </c>
      <c r="J17" s="7" t="s">
        <v>3559</v>
      </c>
      <c r="K17" s="28">
        <v>46222.0</v>
      </c>
      <c r="L17" s="7" t="b">
        <v>1</v>
      </c>
    </row>
    <row r="18">
      <c r="A18" s="7" t="s">
        <v>3577</v>
      </c>
      <c r="B18" s="7" t="s">
        <v>2029</v>
      </c>
      <c r="C18" s="7" t="s">
        <v>2030</v>
      </c>
      <c r="D18" s="7" t="s">
        <v>1998</v>
      </c>
      <c r="E18" s="7" t="s">
        <v>3569</v>
      </c>
      <c r="F18" s="7" t="s">
        <v>3570</v>
      </c>
      <c r="G18" s="7" t="s">
        <v>3571</v>
      </c>
      <c r="H18" s="7" t="s">
        <v>1701</v>
      </c>
      <c r="I18" s="7" t="s">
        <v>3558</v>
      </c>
      <c r="J18" s="7" t="s">
        <v>3559</v>
      </c>
      <c r="K18" s="28">
        <v>46222.0</v>
      </c>
      <c r="L18" s="7" t="b">
        <v>1</v>
      </c>
    </row>
    <row r="19">
      <c r="A19" s="7" t="s">
        <v>3578</v>
      </c>
      <c r="B19" s="7" t="s">
        <v>2034</v>
      </c>
      <c r="C19" s="7" t="s">
        <v>2035</v>
      </c>
      <c r="D19" s="7" t="s">
        <v>1998</v>
      </c>
      <c r="E19" s="7" t="s">
        <v>3569</v>
      </c>
      <c r="F19" s="7" t="s">
        <v>3570</v>
      </c>
      <c r="G19" s="7" t="s">
        <v>3571</v>
      </c>
      <c r="H19" s="7" t="s">
        <v>1701</v>
      </c>
      <c r="I19" s="7" t="s">
        <v>3558</v>
      </c>
      <c r="J19" s="7" t="s">
        <v>3559</v>
      </c>
      <c r="K19" s="28">
        <v>46222.0</v>
      </c>
      <c r="L19" s="7" t="b">
        <v>1</v>
      </c>
    </row>
    <row r="20">
      <c r="A20" s="7" t="s">
        <v>3579</v>
      </c>
      <c r="B20" s="7" t="s">
        <v>2040</v>
      </c>
      <c r="C20" s="7" t="s">
        <v>2041</v>
      </c>
      <c r="D20" s="7" t="s">
        <v>1998</v>
      </c>
      <c r="E20" s="7" t="s">
        <v>3569</v>
      </c>
      <c r="F20" s="7" t="s">
        <v>3570</v>
      </c>
      <c r="G20" s="7" t="s">
        <v>3571</v>
      </c>
      <c r="H20" s="7" t="s">
        <v>2044</v>
      </c>
      <c r="I20" s="7" t="s">
        <v>3558</v>
      </c>
      <c r="J20" s="7" t="s">
        <v>3559</v>
      </c>
      <c r="K20" s="28">
        <v>46222.0</v>
      </c>
      <c r="L20" s="7" t="b">
        <v>1</v>
      </c>
    </row>
    <row r="21">
      <c r="A21" s="7" t="s">
        <v>3580</v>
      </c>
      <c r="B21" s="7" t="s">
        <v>2047</v>
      </c>
      <c r="C21" s="7" t="s">
        <v>2048</v>
      </c>
      <c r="D21" s="7" t="s">
        <v>1998</v>
      </c>
      <c r="E21" s="7" t="s">
        <v>3569</v>
      </c>
      <c r="F21" s="7" t="s">
        <v>3570</v>
      </c>
      <c r="G21" s="7" t="s">
        <v>3571</v>
      </c>
      <c r="H21" s="7" t="s">
        <v>2051</v>
      </c>
      <c r="I21" s="7" t="s">
        <v>3558</v>
      </c>
      <c r="J21" s="7" t="s">
        <v>3559</v>
      </c>
      <c r="K21" s="28">
        <v>46222.0</v>
      </c>
      <c r="L21" s="7" t="b">
        <v>1</v>
      </c>
    </row>
    <row r="22">
      <c r="A22" s="7" t="s">
        <v>3581</v>
      </c>
      <c r="B22" s="7" t="s">
        <v>2054</v>
      </c>
      <c r="C22" s="7" t="s">
        <v>2055</v>
      </c>
      <c r="D22" s="7" t="s">
        <v>1483</v>
      </c>
      <c r="E22" s="7" t="s">
        <v>3582</v>
      </c>
      <c r="F22" s="7" t="s">
        <v>3583</v>
      </c>
      <c r="G22" s="7" t="s">
        <v>3584</v>
      </c>
      <c r="H22" s="7" t="s">
        <v>2058</v>
      </c>
      <c r="I22" s="7" t="s">
        <v>3558</v>
      </c>
      <c r="J22" s="7" t="s">
        <v>3559</v>
      </c>
      <c r="K22" s="28">
        <v>46222.0</v>
      </c>
      <c r="L22" s="7" t="b">
        <v>1</v>
      </c>
    </row>
    <row r="23">
      <c r="A23" s="7" t="s">
        <v>3585</v>
      </c>
      <c r="B23" s="7" t="s">
        <v>2060</v>
      </c>
      <c r="C23" s="7" t="s">
        <v>2061</v>
      </c>
      <c r="D23" s="7" t="s">
        <v>1483</v>
      </c>
      <c r="E23" s="7" t="s">
        <v>3582</v>
      </c>
      <c r="F23" s="7" t="s">
        <v>3583</v>
      </c>
      <c r="G23" s="7" t="s">
        <v>3584</v>
      </c>
      <c r="H23" s="7" t="s">
        <v>2064</v>
      </c>
      <c r="I23" s="7" t="s">
        <v>3558</v>
      </c>
      <c r="J23" s="7" t="s">
        <v>3559</v>
      </c>
      <c r="K23" s="28">
        <v>46222.0</v>
      </c>
      <c r="L23" s="7" t="b">
        <v>1</v>
      </c>
    </row>
    <row r="24">
      <c r="A24" s="7" t="s">
        <v>3586</v>
      </c>
      <c r="B24" s="7" t="s">
        <v>2066</v>
      </c>
      <c r="C24" s="7" t="s">
        <v>2067</v>
      </c>
      <c r="D24" s="7" t="s">
        <v>1483</v>
      </c>
      <c r="E24" s="7" t="s">
        <v>3582</v>
      </c>
      <c r="F24" s="7" t="s">
        <v>3583</v>
      </c>
      <c r="G24" s="7" t="s">
        <v>3584</v>
      </c>
      <c r="H24" s="7">
        <v>7.2</v>
      </c>
      <c r="I24" s="7" t="s">
        <v>3558</v>
      </c>
      <c r="J24" s="7" t="s">
        <v>3559</v>
      </c>
      <c r="K24" s="28">
        <v>46222.0</v>
      </c>
      <c r="L24" s="7" t="b">
        <v>1</v>
      </c>
    </row>
    <row r="25">
      <c r="A25" s="7" t="s">
        <v>3587</v>
      </c>
      <c r="B25" s="7" t="s">
        <v>2072</v>
      </c>
      <c r="C25" s="7" t="s">
        <v>2073</v>
      </c>
      <c r="D25" s="7" t="s">
        <v>1483</v>
      </c>
      <c r="E25" s="7" t="s">
        <v>3582</v>
      </c>
      <c r="F25" s="7" t="s">
        <v>3583</v>
      </c>
      <c r="G25" s="7" t="s">
        <v>3584</v>
      </c>
      <c r="H25" s="7">
        <v>7.2</v>
      </c>
      <c r="I25" s="7" t="s">
        <v>3558</v>
      </c>
      <c r="J25" s="7" t="s">
        <v>3559</v>
      </c>
      <c r="K25" s="28">
        <v>46222.0</v>
      </c>
      <c r="L25" s="7" t="b">
        <v>1</v>
      </c>
    </row>
    <row r="26">
      <c r="A26" s="7" t="s">
        <v>3588</v>
      </c>
      <c r="B26" s="7" t="s">
        <v>2077</v>
      </c>
      <c r="C26" s="7" t="s">
        <v>2078</v>
      </c>
      <c r="D26" s="7" t="s">
        <v>1483</v>
      </c>
      <c r="E26" s="7" t="s">
        <v>3582</v>
      </c>
      <c r="F26" s="7" t="s">
        <v>3583</v>
      </c>
      <c r="G26" s="7" t="s">
        <v>3584</v>
      </c>
      <c r="H26" s="7">
        <v>7.2</v>
      </c>
      <c r="I26" s="7" t="s">
        <v>3558</v>
      </c>
      <c r="J26" s="7" t="s">
        <v>3559</v>
      </c>
      <c r="K26" s="28">
        <v>46222.0</v>
      </c>
      <c r="L26" s="7" t="b">
        <v>1</v>
      </c>
    </row>
    <row r="27">
      <c r="A27" s="7" t="s">
        <v>3589</v>
      </c>
      <c r="B27" s="7" t="s">
        <v>2082</v>
      </c>
      <c r="C27" s="7" t="s">
        <v>2083</v>
      </c>
      <c r="D27" s="7" t="s">
        <v>1483</v>
      </c>
      <c r="E27" s="7" t="s">
        <v>3582</v>
      </c>
      <c r="F27" s="7" t="s">
        <v>3583</v>
      </c>
      <c r="G27" s="7" t="s">
        <v>3584</v>
      </c>
      <c r="H27" s="7">
        <v>7.2</v>
      </c>
      <c r="I27" s="7" t="s">
        <v>3558</v>
      </c>
      <c r="J27" s="7" t="s">
        <v>3559</v>
      </c>
      <c r="K27" s="28">
        <v>46222.0</v>
      </c>
      <c r="L27" s="7" t="b">
        <v>1</v>
      </c>
    </row>
    <row r="28">
      <c r="A28" s="7" t="s">
        <v>3590</v>
      </c>
      <c r="B28" s="7" t="s">
        <v>2088</v>
      </c>
      <c r="C28" s="7" t="s">
        <v>2089</v>
      </c>
      <c r="D28" s="7" t="s">
        <v>1483</v>
      </c>
      <c r="E28" s="7" t="s">
        <v>3582</v>
      </c>
      <c r="F28" s="7" t="s">
        <v>3583</v>
      </c>
      <c r="G28" s="7" t="s">
        <v>3584</v>
      </c>
      <c r="H28" s="7">
        <v>7.3</v>
      </c>
      <c r="I28" s="7" t="s">
        <v>3558</v>
      </c>
      <c r="J28" s="7" t="s">
        <v>3559</v>
      </c>
      <c r="K28" s="28">
        <v>46222.0</v>
      </c>
      <c r="L28" s="7" t="b">
        <v>1</v>
      </c>
    </row>
    <row r="29">
      <c r="A29" s="7" t="s">
        <v>3591</v>
      </c>
      <c r="B29" s="7" t="s">
        <v>2094</v>
      </c>
      <c r="C29" s="7" t="s">
        <v>2095</v>
      </c>
      <c r="D29" s="7" t="s">
        <v>1483</v>
      </c>
      <c r="E29" s="7" t="s">
        <v>3582</v>
      </c>
      <c r="F29" s="7" t="s">
        <v>3583</v>
      </c>
      <c r="G29" s="7" t="s">
        <v>3584</v>
      </c>
      <c r="H29" s="7" t="s">
        <v>2098</v>
      </c>
      <c r="I29" s="7" t="s">
        <v>3558</v>
      </c>
      <c r="J29" s="7" t="s">
        <v>3559</v>
      </c>
      <c r="K29" s="28">
        <v>46222.0</v>
      </c>
      <c r="L29" s="7" t="b">
        <v>1</v>
      </c>
    </row>
    <row r="30">
      <c r="A30" s="7" t="s">
        <v>3592</v>
      </c>
      <c r="B30" s="7" t="s">
        <v>2100</v>
      </c>
      <c r="C30" s="7" t="s">
        <v>2101</v>
      </c>
      <c r="D30" s="7" t="s">
        <v>1898</v>
      </c>
      <c r="E30" s="7" t="s">
        <v>3593</v>
      </c>
      <c r="F30" s="7" t="s">
        <v>3594</v>
      </c>
      <c r="G30" s="7" t="s">
        <v>3595</v>
      </c>
      <c r="H30" s="7" t="s">
        <v>2104</v>
      </c>
      <c r="I30" s="7" t="s">
        <v>3558</v>
      </c>
      <c r="J30" s="7" t="s">
        <v>3559</v>
      </c>
      <c r="K30" s="28">
        <v>46222.0</v>
      </c>
      <c r="L30" s="7" t="b">
        <v>1</v>
      </c>
    </row>
    <row r="31">
      <c r="A31" s="7" t="s">
        <v>3596</v>
      </c>
      <c r="B31" s="7" t="s">
        <v>2106</v>
      </c>
      <c r="C31" s="7" t="s">
        <v>2107</v>
      </c>
      <c r="D31" s="7" t="s">
        <v>1898</v>
      </c>
      <c r="E31" s="7" t="s">
        <v>3593</v>
      </c>
      <c r="F31" s="7" t="s">
        <v>3594</v>
      </c>
      <c r="G31" s="7" t="s">
        <v>3595</v>
      </c>
      <c r="H31" s="7">
        <v>8.2</v>
      </c>
      <c r="I31" s="7" t="s">
        <v>3558</v>
      </c>
      <c r="J31" s="7" t="s">
        <v>3559</v>
      </c>
      <c r="K31" s="28">
        <v>46222.0</v>
      </c>
      <c r="L31" s="7" t="b">
        <v>1</v>
      </c>
    </row>
    <row r="32">
      <c r="A32" s="7" t="s">
        <v>3597</v>
      </c>
      <c r="B32" s="7" t="s">
        <v>2112</v>
      </c>
      <c r="C32" s="7" t="s">
        <v>2113</v>
      </c>
      <c r="D32" s="7" t="s">
        <v>1898</v>
      </c>
      <c r="E32" s="7" t="s">
        <v>3593</v>
      </c>
      <c r="F32" s="7" t="s">
        <v>3594</v>
      </c>
      <c r="G32" s="7" t="s">
        <v>3595</v>
      </c>
      <c r="H32" s="7" t="s">
        <v>2116</v>
      </c>
      <c r="I32" s="7" t="s">
        <v>3558</v>
      </c>
      <c r="J32" s="7" t="s">
        <v>3559</v>
      </c>
      <c r="K32" s="28">
        <v>46222.0</v>
      </c>
      <c r="L32" s="7" t="b">
        <v>1</v>
      </c>
    </row>
    <row r="33">
      <c r="A33" s="7" t="s">
        <v>3598</v>
      </c>
      <c r="B33" s="7" t="s">
        <v>2118</v>
      </c>
      <c r="C33" s="7" t="s">
        <v>2119</v>
      </c>
      <c r="D33" s="7" t="s">
        <v>1898</v>
      </c>
      <c r="E33" s="7" t="s">
        <v>3593</v>
      </c>
      <c r="F33" s="7" t="s">
        <v>3594</v>
      </c>
      <c r="G33" s="7" t="s">
        <v>3595</v>
      </c>
      <c r="H33" s="7">
        <v>8.2</v>
      </c>
      <c r="I33" s="7" t="s">
        <v>3558</v>
      </c>
      <c r="J33" s="7" t="s">
        <v>3559</v>
      </c>
      <c r="K33" s="28">
        <v>46222.0</v>
      </c>
      <c r="L33" s="7" t="b">
        <v>1</v>
      </c>
    </row>
    <row r="34">
      <c r="A34" s="7" t="s">
        <v>3599</v>
      </c>
      <c r="B34" s="7" t="s">
        <v>2124</v>
      </c>
      <c r="C34" s="7" t="s">
        <v>2125</v>
      </c>
      <c r="D34" s="7" t="s">
        <v>1898</v>
      </c>
      <c r="E34" s="7" t="s">
        <v>3593</v>
      </c>
      <c r="F34" s="7" t="s">
        <v>3594</v>
      </c>
      <c r="G34" s="7" t="s">
        <v>3595</v>
      </c>
      <c r="H34" s="7" t="s">
        <v>2128</v>
      </c>
      <c r="I34" s="7" t="s">
        <v>3558</v>
      </c>
      <c r="J34" s="7" t="s">
        <v>3559</v>
      </c>
      <c r="K34" s="28">
        <v>46222.0</v>
      </c>
      <c r="L34" s="7" t="b">
        <v>1</v>
      </c>
    </row>
    <row r="35">
      <c r="A35" s="7" t="s">
        <v>3600</v>
      </c>
      <c r="B35" s="7" t="s">
        <v>2130</v>
      </c>
      <c r="C35" s="7" t="s">
        <v>2131</v>
      </c>
      <c r="D35" s="7" t="s">
        <v>1898</v>
      </c>
      <c r="E35" s="7" t="s">
        <v>3593</v>
      </c>
      <c r="F35" s="7" t="s">
        <v>3594</v>
      </c>
      <c r="G35" s="7" t="s">
        <v>3595</v>
      </c>
      <c r="H35" s="7" t="s">
        <v>1727</v>
      </c>
      <c r="I35" s="7" t="s">
        <v>3558</v>
      </c>
      <c r="J35" s="7" t="s">
        <v>3559</v>
      </c>
      <c r="K35" s="28">
        <v>46222.0</v>
      </c>
      <c r="L35" s="7" t="b">
        <v>1</v>
      </c>
    </row>
    <row r="36">
      <c r="A36" s="7" t="s">
        <v>3601</v>
      </c>
      <c r="B36" s="7" t="s">
        <v>2135</v>
      </c>
      <c r="C36" s="7" t="s">
        <v>2136</v>
      </c>
      <c r="D36" s="7" t="s">
        <v>1898</v>
      </c>
      <c r="E36" s="7" t="s">
        <v>3593</v>
      </c>
      <c r="F36" s="7" t="s">
        <v>3594</v>
      </c>
      <c r="G36" s="7" t="s">
        <v>3595</v>
      </c>
      <c r="H36" s="7">
        <v>8.6</v>
      </c>
      <c r="I36" s="7" t="s">
        <v>3558</v>
      </c>
      <c r="J36" s="7" t="s">
        <v>3559</v>
      </c>
      <c r="K36" s="28">
        <v>46222.0</v>
      </c>
      <c r="L36" s="7" t="b">
        <v>1</v>
      </c>
    </row>
    <row r="37">
      <c r="A37" s="7" t="s">
        <v>3602</v>
      </c>
      <c r="B37" s="7" t="s">
        <v>2141</v>
      </c>
      <c r="C37" s="7" t="s">
        <v>2142</v>
      </c>
      <c r="D37" s="7" t="s">
        <v>1898</v>
      </c>
      <c r="E37" s="7" t="s">
        <v>3593</v>
      </c>
      <c r="F37" s="7" t="s">
        <v>3594</v>
      </c>
      <c r="G37" s="7" t="s">
        <v>3595</v>
      </c>
      <c r="H37" s="7" t="s">
        <v>2145</v>
      </c>
      <c r="I37" s="7" t="s">
        <v>3558</v>
      </c>
      <c r="J37" s="7" t="s">
        <v>3559</v>
      </c>
      <c r="K37" s="28">
        <v>46222.0</v>
      </c>
      <c r="L37" s="7" t="b">
        <v>1</v>
      </c>
    </row>
    <row r="38">
      <c r="A38" s="7" t="s">
        <v>3603</v>
      </c>
      <c r="B38" s="7" t="s">
        <v>2148</v>
      </c>
      <c r="C38" s="7" t="s">
        <v>2149</v>
      </c>
      <c r="D38" s="7" t="s">
        <v>1898</v>
      </c>
      <c r="E38" s="7" t="s">
        <v>3593</v>
      </c>
      <c r="F38" s="7" t="s">
        <v>3594</v>
      </c>
      <c r="G38" s="7" t="s">
        <v>3595</v>
      </c>
      <c r="H38" s="7" t="s">
        <v>1765</v>
      </c>
      <c r="I38" s="7" t="s">
        <v>3558</v>
      </c>
      <c r="J38" s="7" t="s">
        <v>3559</v>
      </c>
      <c r="K38" s="28">
        <v>46222.0</v>
      </c>
      <c r="L38" s="7" t="b">
        <v>1</v>
      </c>
    </row>
    <row r="39">
      <c r="A39" s="7" t="s">
        <v>3604</v>
      </c>
      <c r="B39" s="7" t="s">
        <v>2154</v>
      </c>
      <c r="C39" s="7" t="s">
        <v>2155</v>
      </c>
      <c r="D39" s="7" t="s">
        <v>1898</v>
      </c>
      <c r="E39" s="7" t="s">
        <v>3593</v>
      </c>
      <c r="F39" s="7" t="s">
        <v>3594</v>
      </c>
      <c r="G39" s="7" t="s">
        <v>3595</v>
      </c>
      <c r="H39" s="7" t="s">
        <v>2158</v>
      </c>
      <c r="I39" s="7" t="s">
        <v>3558</v>
      </c>
      <c r="J39" s="7" t="s">
        <v>3559</v>
      </c>
      <c r="K39" s="28">
        <v>46222.0</v>
      </c>
      <c r="L39" s="7" t="b">
        <v>1</v>
      </c>
    </row>
    <row r="40">
      <c r="A40" s="7" t="s">
        <v>3605</v>
      </c>
      <c r="B40" s="7" t="s">
        <v>2160</v>
      </c>
      <c r="C40" s="7" t="s">
        <v>2161</v>
      </c>
      <c r="D40" s="7" t="s">
        <v>1883</v>
      </c>
      <c r="E40" s="7" t="s">
        <v>3606</v>
      </c>
      <c r="F40" s="7" t="s">
        <v>3607</v>
      </c>
      <c r="G40" s="7" t="s">
        <v>3608</v>
      </c>
      <c r="H40" s="7" t="s">
        <v>1659</v>
      </c>
      <c r="I40" s="7" t="s">
        <v>3558</v>
      </c>
      <c r="J40" s="7" t="s">
        <v>3559</v>
      </c>
      <c r="K40" s="28">
        <v>46222.0</v>
      </c>
      <c r="L40" s="7" t="b">
        <v>1</v>
      </c>
    </row>
    <row r="41">
      <c r="A41" s="7" t="s">
        <v>3609</v>
      </c>
      <c r="B41" s="7" t="s">
        <v>2165</v>
      </c>
      <c r="C41" s="7" t="s">
        <v>2166</v>
      </c>
      <c r="D41" s="7" t="s">
        <v>1883</v>
      </c>
      <c r="E41" s="7" t="s">
        <v>3606</v>
      </c>
      <c r="F41" s="7" t="s">
        <v>3607</v>
      </c>
      <c r="G41" s="7" t="s">
        <v>3608</v>
      </c>
      <c r="H41" s="7" t="s">
        <v>1659</v>
      </c>
      <c r="I41" s="7" t="s">
        <v>3558</v>
      </c>
      <c r="J41" s="7" t="s">
        <v>3559</v>
      </c>
      <c r="K41" s="28">
        <v>46222.0</v>
      </c>
      <c r="L41" s="7" t="b">
        <v>1</v>
      </c>
    </row>
    <row r="42">
      <c r="A42" s="7" t="s">
        <v>3610</v>
      </c>
      <c r="B42" s="7" t="s">
        <v>2170</v>
      </c>
      <c r="C42" s="7" t="s">
        <v>2171</v>
      </c>
      <c r="D42" s="7" t="s">
        <v>1883</v>
      </c>
      <c r="E42" s="7" t="s">
        <v>3606</v>
      </c>
      <c r="F42" s="7" t="s">
        <v>3607</v>
      </c>
      <c r="G42" s="7" t="s">
        <v>3608</v>
      </c>
      <c r="H42" s="7" t="s">
        <v>2174</v>
      </c>
      <c r="I42" s="7" t="s">
        <v>3558</v>
      </c>
      <c r="J42" s="7" t="s">
        <v>3559</v>
      </c>
      <c r="K42" s="28">
        <v>46222.0</v>
      </c>
      <c r="L42" s="7" t="b">
        <v>1</v>
      </c>
    </row>
    <row r="43">
      <c r="A43" s="7" t="s">
        <v>3611</v>
      </c>
      <c r="B43" s="7" t="s">
        <v>2177</v>
      </c>
      <c r="C43" s="7" t="s">
        <v>2178</v>
      </c>
      <c r="D43" s="7" t="s">
        <v>1883</v>
      </c>
      <c r="E43" s="7" t="s">
        <v>3606</v>
      </c>
      <c r="F43" s="7" t="s">
        <v>3607</v>
      </c>
      <c r="G43" s="7" t="s">
        <v>3608</v>
      </c>
      <c r="H43" s="7" t="s">
        <v>1659</v>
      </c>
      <c r="I43" s="7" t="s">
        <v>3558</v>
      </c>
      <c r="J43" s="7" t="s">
        <v>3559</v>
      </c>
      <c r="K43" s="28">
        <v>46222.0</v>
      </c>
      <c r="L43" s="7" t="b">
        <v>1</v>
      </c>
    </row>
    <row r="44">
      <c r="A44" s="7" t="s">
        <v>3612</v>
      </c>
      <c r="B44" s="7" t="s">
        <v>2183</v>
      </c>
      <c r="C44" s="7" t="s">
        <v>2184</v>
      </c>
      <c r="D44" s="7" t="s">
        <v>1883</v>
      </c>
      <c r="E44" s="7" t="s">
        <v>3606</v>
      </c>
      <c r="F44" s="7" t="s">
        <v>3607</v>
      </c>
      <c r="G44" s="7" t="s">
        <v>3608</v>
      </c>
      <c r="H44" s="7" t="s">
        <v>2187</v>
      </c>
      <c r="I44" s="7" t="s">
        <v>3558</v>
      </c>
      <c r="J44" s="7" t="s">
        <v>3559</v>
      </c>
      <c r="K44" s="28">
        <v>46222.0</v>
      </c>
      <c r="L44" s="7" t="b">
        <v>1</v>
      </c>
    </row>
    <row r="45">
      <c r="A45" s="7" t="s">
        <v>3613</v>
      </c>
      <c r="B45" s="7" t="s">
        <v>2190</v>
      </c>
      <c r="C45" s="7" t="s">
        <v>2191</v>
      </c>
      <c r="D45" s="7" t="s">
        <v>1883</v>
      </c>
      <c r="E45" s="7" t="s">
        <v>3606</v>
      </c>
      <c r="F45" s="7" t="s">
        <v>3607</v>
      </c>
      <c r="G45" s="7" t="s">
        <v>3608</v>
      </c>
      <c r="H45" s="7" t="s">
        <v>1669</v>
      </c>
      <c r="I45" s="7" t="s">
        <v>3558</v>
      </c>
      <c r="J45" s="7" t="s">
        <v>3559</v>
      </c>
      <c r="K45" s="28">
        <v>46222.0</v>
      </c>
      <c r="L45" s="7" t="b">
        <v>1</v>
      </c>
    </row>
    <row r="46">
      <c r="A46" s="7" t="s">
        <v>3614</v>
      </c>
      <c r="B46" s="7" t="s">
        <v>2195</v>
      </c>
      <c r="C46" s="7" t="s">
        <v>2196</v>
      </c>
      <c r="D46" s="7" t="s">
        <v>1883</v>
      </c>
      <c r="E46" s="7" t="s">
        <v>3606</v>
      </c>
      <c r="F46" s="7" t="s">
        <v>3607</v>
      </c>
      <c r="G46" s="7" t="s">
        <v>3608</v>
      </c>
      <c r="H46" s="7" t="s">
        <v>1664</v>
      </c>
      <c r="I46" s="7" t="s">
        <v>3558</v>
      </c>
      <c r="J46" s="7" t="s">
        <v>3559</v>
      </c>
      <c r="K46" s="28">
        <v>46222.0</v>
      </c>
      <c r="L46" s="7" t="b">
        <v>1</v>
      </c>
    </row>
    <row r="47">
      <c r="A47" s="7" t="s">
        <v>3615</v>
      </c>
      <c r="B47" s="7" t="s">
        <v>2201</v>
      </c>
      <c r="C47" s="7" t="s">
        <v>2202</v>
      </c>
      <c r="D47" s="7" t="s">
        <v>1883</v>
      </c>
      <c r="E47" s="7" t="s">
        <v>3606</v>
      </c>
      <c r="F47" s="7" t="s">
        <v>3607</v>
      </c>
      <c r="G47" s="7" t="s">
        <v>3608</v>
      </c>
      <c r="H47" s="7" t="s">
        <v>2205</v>
      </c>
      <c r="I47" s="7" t="s">
        <v>3558</v>
      </c>
      <c r="J47" s="7" t="s">
        <v>3559</v>
      </c>
      <c r="K47" s="28">
        <v>46222.0</v>
      </c>
      <c r="L47" s="7" t="b">
        <v>1</v>
      </c>
    </row>
    <row r="48">
      <c r="A48" s="7" t="s">
        <v>3616</v>
      </c>
      <c r="B48" s="7" t="s">
        <v>2207</v>
      </c>
      <c r="C48" s="7" t="s">
        <v>2208</v>
      </c>
      <c r="D48" s="7" t="s">
        <v>2209</v>
      </c>
      <c r="E48" s="7" t="s">
        <v>3617</v>
      </c>
      <c r="F48" s="7" t="s">
        <v>3618</v>
      </c>
      <c r="G48" s="7" t="s">
        <v>3619</v>
      </c>
      <c r="H48" s="7" t="s">
        <v>2212</v>
      </c>
      <c r="I48" s="7" t="s">
        <v>3558</v>
      </c>
      <c r="J48" s="7" t="s">
        <v>3559</v>
      </c>
      <c r="K48" s="28">
        <v>46222.0</v>
      </c>
      <c r="L48" s="7" t="b">
        <v>1</v>
      </c>
    </row>
    <row r="49">
      <c r="A49" s="7" t="s">
        <v>3620</v>
      </c>
      <c r="B49" s="7" t="s">
        <v>2214</v>
      </c>
      <c r="C49" s="7" t="s">
        <v>2215</v>
      </c>
      <c r="D49" s="7" t="s">
        <v>2209</v>
      </c>
      <c r="E49" s="7" t="s">
        <v>3617</v>
      </c>
      <c r="F49" s="7" t="s">
        <v>3618</v>
      </c>
      <c r="G49" s="7" t="s">
        <v>3619</v>
      </c>
      <c r="H49" s="7">
        <v>8.4</v>
      </c>
      <c r="I49" s="7" t="s">
        <v>3558</v>
      </c>
      <c r="J49" s="7" t="s">
        <v>3559</v>
      </c>
      <c r="K49" s="28">
        <v>46222.0</v>
      </c>
      <c r="L49" s="7" t="b">
        <v>1</v>
      </c>
    </row>
    <row r="50">
      <c r="A50" s="7" t="s">
        <v>3621</v>
      </c>
      <c r="B50" s="7" t="s">
        <v>2220</v>
      </c>
      <c r="C50" s="7" t="s">
        <v>2221</v>
      </c>
      <c r="D50" s="7" t="s">
        <v>2209</v>
      </c>
      <c r="E50" s="7" t="s">
        <v>3617</v>
      </c>
      <c r="F50" s="7" t="s">
        <v>3618</v>
      </c>
      <c r="G50" s="7" t="s">
        <v>3619</v>
      </c>
      <c r="H50" s="7">
        <v>8.4</v>
      </c>
      <c r="I50" s="7" t="s">
        <v>3558</v>
      </c>
      <c r="J50" s="7" t="s">
        <v>3559</v>
      </c>
      <c r="K50" s="28">
        <v>46222.0</v>
      </c>
      <c r="L50" s="7" t="b">
        <v>1</v>
      </c>
    </row>
    <row r="51">
      <c r="A51" s="7" t="s">
        <v>3622</v>
      </c>
      <c r="B51" s="7" t="s">
        <v>2225</v>
      </c>
      <c r="C51" s="7" t="s">
        <v>2226</v>
      </c>
      <c r="D51" s="7" t="s">
        <v>2209</v>
      </c>
      <c r="E51" s="7" t="s">
        <v>3617</v>
      </c>
      <c r="F51" s="7" t="s">
        <v>3618</v>
      </c>
      <c r="G51" s="7" t="s">
        <v>3619</v>
      </c>
      <c r="H51" s="7" t="s">
        <v>2229</v>
      </c>
      <c r="I51" s="7" t="s">
        <v>3558</v>
      </c>
      <c r="J51" s="7" t="s">
        <v>3559</v>
      </c>
      <c r="K51" s="28">
        <v>46222.0</v>
      </c>
      <c r="L51" s="7" t="b">
        <v>1</v>
      </c>
    </row>
    <row r="52">
      <c r="A52" s="7" t="s">
        <v>3623</v>
      </c>
      <c r="B52" s="7" t="s">
        <v>2231</v>
      </c>
      <c r="C52" s="7" t="s">
        <v>2232</v>
      </c>
      <c r="D52" s="7" t="s">
        <v>2209</v>
      </c>
      <c r="E52" s="7" t="s">
        <v>3617</v>
      </c>
      <c r="F52" s="7" t="s">
        <v>3618</v>
      </c>
      <c r="G52" s="7" t="s">
        <v>3619</v>
      </c>
      <c r="H52" s="7" t="s">
        <v>2235</v>
      </c>
      <c r="I52" s="7" t="s">
        <v>3558</v>
      </c>
      <c r="J52" s="7" t="s">
        <v>3559</v>
      </c>
      <c r="K52" s="28">
        <v>46222.0</v>
      </c>
      <c r="L52" s="7" t="b">
        <v>1</v>
      </c>
    </row>
    <row r="53">
      <c r="A53" s="7" t="s">
        <v>3624</v>
      </c>
      <c r="B53" s="7" t="s">
        <v>2237</v>
      </c>
      <c r="C53" s="7" t="s">
        <v>2238</v>
      </c>
      <c r="D53" s="7" t="s">
        <v>2209</v>
      </c>
      <c r="E53" s="7" t="s">
        <v>3617</v>
      </c>
      <c r="F53" s="7" t="s">
        <v>3618</v>
      </c>
      <c r="G53" s="7" t="s">
        <v>3619</v>
      </c>
      <c r="H53" s="7">
        <v>8.4</v>
      </c>
      <c r="I53" s="7" t="s">
        <v>3558</v>
      </c>
      <c r="J53" s="7" t="s">
        <v>3559</v>
      </c>
      <c r="K53" s="28">
        <v>46222.0</v>
      </c>
      <c r="L53" s="7" t="b">
        <v>1</v>
      </c>
    </row>
    <row r="54">
      <c r="A54" s="7" t="s">
        <v>3625</v>
      </c>
      <c r="B54" s="7" t="s">
        <v>2242</v>
      </c>
      <c r="C54" s="7" t="s">
        <v>2243</v>
      </c>
      <c r="D54" s="7" t="s">
        <v>2244</v>
      </c>
      <c r="E54" s="7" t="s">
        <v>3626</v>
      </c>
      <c r="F54" s="7" t="s">
        <v>3627</v>
      </c>
      <c r="G54" s="7" t="s">
        <v>3628</v>
      </c>
      <c r="H54" s="7" t="s">
        <v>1760</v>
      </c>
      <c r="I54" s="7" t="s">
        <v>3558</v>
      </c>
      <c r="J54" s="7" t="s">
        <v>3559</v>
      </c>
      <c r="K54" s="28">
        <v>46222.0</v>
      </c>
      <c r="L54" s="7" t="b">
        <v>1</v>
      </c>
    </row>
    <row r="55">
      <c r="A55" s="7" t="s">
        <v>3629</v>
      </c>
      <c r="B55" s="7" t="s">
        <v>2248</v>
      </c>
      <c r="C55" s="7" t="s">
        <v>2249</v>
      </c>
      <c r="D55" s="7" t="s">
        <v>2244</v>
      </c>
      <c r="E55" s="7" t="s">
        <v>3626</v>
      </c>
      <c r="F55" s="7" t="s">
        <v>3627</v>
      </c>
      <c r="G55" s="7" t="s">
        <v>3628</v>
      </c>
      <c r="H55" s="7" t="s">
        <v>1760</v>
      </c>
      <c r="I55" s="7" t="s">
        <v>3558</v>
      </c>
      <c r="J55" s="7" t="s">
        <v>3559</v>
      </c>
      <c r="K55" s="28">
        <v>46222.0</v>
      </c>
      <c r="L55" s="7" t="b">
        <v>1</v>
      </c>
    </row>
    <row r="56">
      <c r="A56" s="7" t="s">
        <v>3630</v>
      </c>
      <c r="B56" s="7" t="s">
        <v>2253</v>
      </c>
      <c r="C56" s="7" t="s">
        <v>2254</v>
      </c>
      <c r="D56" s="7" t="s">
        <v>2244</v>
      </c>
      <c r="E56" s="7" t="s">
        <v>3626</v>
      </c>
      <c r="F56" s="7" t="s">
        <v>3627</v>
      </c>
      <c r="G56" s="7" t="s">
        <v>3628</v>
      </c>
      <c r="H56" s="7" t="s">
        <v>2257</v>
      </c>
      <c r="I56" s="7" t="s">
        <v>3558</v>
      </c>
      <c r="J56" s="7" t="s">
        <v>3559</v>
      </c>
      <c r="K56" s="28">
        <v>46222.0</v>
      </c>
      <c r="L56" s="7" t="b">
        <v>1</v>
      </c>
    </row>
    <row r="57">
      <c r="A57" s="7" t="s">
        <v>3631</v>
      </c>
      <c r="B57" s="7" t="s">
        <v>2260</v>
      </c>
      <c r="C57" s="7" t="s">
        <v>2261</v>
      </c>
      <c r="D57" s="7" t="s">
        <v>2244</v>
      </c>
      <c r="E57" s="7" t="s">
        <v>3626</v>
      </c>
      <c r="F57" s="7" t="s">
        <v>3627</v>
      </c>
      <c r="G57" s="7" t="s">
        <v>3628</v>
      </c>
      <c r="H57" s="7">
        <v>8.7</v>
      </c>
      <c r="I57" s="7" t="s">
        <v>3558</v>
      </c>
      <c r="J57" s="7" t="s">
        <v>3559</v>
      </c>
      <c r="K57" s="28">
        <v>46222.0</v>
      </c>
      <c r="L57" s="7" t="b">
        <v>1</v>
      </c>
    </row>
    <row r="58">
      <c r="A58" s="7" t="s">
        <v>3632</v>
      </c>
      <c r="B58" s="7" t="s">
        <v>2265</v>
      </c>
      <c r="C58" s="7" t="s">
        <v>2266</v>
      </c>
      <c r="D58" s="7" t="s">
        <v>2244</v>
      </c>
      <c r="E58" s="7" t="s">
        <v>3626</v>
      </c>
      <c r="F58" s="7" t="s">
        <v>3627</v>
      </c>
      <c r="G58" s="7" t="s">
        <v>3628</v>
      </c>
      <c r="H58" s="7">
        <v>10.2</v>
      </c>
      <c r="I58" s="7" t="s">
        <v>3558</v>
      </c>
      <c r="J58" s="7" t="s">
        <v>3559</v>
      </c>
      <c r="K58" s="28">
        <v>46222.0</v>
      </c>
      <c r="L58" s="7" t="b">
        <v>1</v>
      </c>
    </row>
    <row r="59">
      <c r="A59" s="7" t="s">
        <v>3633</v>
      </c>
      <c r="B59" s="7" t="s">
        <v>2270</v>
      </c>
      <c r="C59" s="7" t="s">
        <v>2271</v>
      </c>
      <c r="D59" s="7" t="s">
        <v>2244</v>
      </c>
      <c r="E59" s="7" t="s">
        <v>3626</v>
      </c>
      <c r="F59" s="7" t="s">
        <v>3627</v>
      </c>
      <c r="G59" s="7" t="s">
        <v>3628</v>
      </c>
      <c r="H59" s="7">
        <v>10.2</v>
      </c>
      <c r="I59" s="7" t="s">
        <v>3558</v>
      </c>
      <c r="J59" s="7" t="s">
        <v>3559</v>
      </c>
      <c r="K59" s="28">
        <v>46222.0</v>
      </c>
      <c r="L59" s="7" t="b">
        <v>1</v>
      </c>
    </row>
    <row r="60">
      <c r="A60" s="7" t="s">
        <v>3634</v>
      </c>
      <c r="B60" s="7" t="s">
        <v>2275</v>
      </c>
      <c r="C60" s="7" t="s">
        <v>2276</v>
      </c>
      <c r="D60" s="7" t="s">
        <v>2244</v>
      </c>
      <c r="E60" s="7" t="s">
        <v>3626</v>
      </c>
      <c r="F60" s="7" t="s">
        <v>3627</v>
      </c>
      <c r="G60" s="7" t="s">
        <v>3628</v>
      </c>
      <c r="H60" s="7">
        <v>10.2</v>
      </c>
      <c r="I60" s="7" t="s">
        <v>3558</v>
      </c>
      <c r="J60" s="7" t="s">
        <v>3559</v>
      </c>
      <c r="K60" s="28">
        <v>46222.0</v>
      </c>
      <c r="L60" s="7" t="b">
        <v>1</v>
      </c>
    </row>
    <row r="61">
      <c r="A61" s="7" t="s">
        <v>3635</v>
      </c>
      <c r="B61" s="7" t="s">
        <v>2280</v>
      </c>
      <c r="C61" s="7" t="s">
        <v>2281</v>
      </c>
      <c r="D61" s="7" t="s">
        <v>2244</v>
      </c>
      <c r="E61" s="7" t="s">
        <v>3626</v>
      </c>
      <c r="F61" s="7" t="s">
        <v>3627</v>
      </c>
      <c r="G61" s="7" t="s">
        <v>3628</v>
      </c>
      <c r="H61" s="7" t="s">
        <v>2284</v>
      </c>
      <c r="I61" s="7" t="s">
        <v>3558</v>
      </c>
      <c r="J61" s="7" t="s">
        <v>3559</v>
      </c>
      <c r="K61" s="28">
        <v>46222.0</v>
      </c>
      <c r="L61" s="7" t="b">
        <v>1</v>
      </c>
    </row>
    <row r="62">
      <c r="A62" s="7" t="s">
        <v>3636</v>
      </c>
      <c r="B62" s="7" t="s">
        <v>2286</v>
      </c>
      <c r="C62" s="7" t="s">
        <v>2287</v>
      </c>
      <c r="D62" s="7" t="s">
        <v>2244</v>
      </c>
      <c r="E62" s="7" t="s">
        <v>3626</v>
      </c>
      <c r="F62" s="7" t="s">
        <v>3627</v>
      </c>
      <c r="G62" s="7" t="s">
        <v>3628</v>
      </c>
      <c r="H62" s="7" t="s">
        <v>2158</v>
      </c>
      <c r="I62" s="7" t="s">
        <v>3558</v>
      </c>
      <c r="J62" s="7" t="s">
        <v>3559</v>
      </c>
      <c r="K62" s="28">
        <v>46222.0</v>
      </c>
      <c r="L62" s="7" t="b">
        <v>1</v>
      </c>
    </row>
    <row r="63">
      <c r="A63" s="7" t="s">
        <v>3637</v>
      </c>
      <c r="B63" s="7" t="s">
        <v>2291</v>
      </c>
      <c r="C63" s="7" t="s">
        <v>2292</v>
      </c>
      <c r="D63" s="7" t="s">
        <v>2244</v>
      </c>
      <c r="E63" s="7" t="s">
        <v>3626</v>
      </c>
      <c r="F63" s="7" t="s">
        <v>3627</v>
      </c>
      <c r="G63" s="7" t="s">
        <v>3628</v>
      </c>
      <c r="H63" s="7">
        <v>10.3</v>
      </c>
      <c r="I63" s="7" t="s">
        <v>3558</v>
      </c>
      <c r="J63" s="7" t="s">
        <v>3559</v>
      </c>
      <c r="K63" s="28">
        <v>46222.0</v>
      </c>
      <c r="L63" s="7" t="b">
        <v>1</v>
      </c>
    </row>
    <row r="64">
      <c r="A64" s="7" t="s">
        <v>3638</v>
      </c>
      <c r="B64" s="7" t="s">
        <v>2296</v>
      </c>
      <c r="C64" s="7" t="s">
        <v>2297</v>
      </c>
      <c r="D64" s="7" t="s">
        <v>2298</v>
      </c>
      <c r="E64" s="7" t="s">
        <v>3639</v>
      </c>
      <c r="F64" s="7" t="s">
        <v>3640</v>
      </c>
      <c r="G64" s="7" t="s">
        <v>3641</v>
      </c>
      <c r="H64" s="7" t="s">
        <v>2301</v>
      </c>
      <c r="I64" s="7" t="s">
        <v>3558</v>
      </c>
      <c r="J64" s="7" t="s">
        <v>3559</v>
      </c>
      <c r="K64" s="28">
        <v>46222.0</v>
      </c>
      <c r="L64" s="7" t="b">
        <v>1</v>
      </c>
    </row>
    <row r="65">
      <c r="A65" s="7" t="s">
        <v>3642</v>
      </c>
      <c r="B65" s="7" t="s">
        <v>2304</v>
      </c>
      <c r="C65" s="7" t="s">
        <v>2305</v>
      </c>
      <c r="D65" s="7" t="s">
        <v>2298</v>
      </c>
      <c r="E65" s="7" t="s">
        <v>3639</v>
      </c>
      <c r="F65" s="7" t="s">
        <v>3640</v>
      </c>
      <c r="G65" s="7" t="s">
        <v>3641</v>
      </c>
      <c r="H65" s="7">
        <v>6.2</v>
      </c>
      <c r="I65" s="7" t="s">
        <v>3558</v>
      </c>
      <c r="J65" s="7" t="s">
        <v>3559</v>
      </c>
      <c r="K65" s="28">
        <v>46222.0</v>
      </c>
      <c r="L65" s="7" t="b">
        <v>1</v>
      </c>
    </row>
    <row r="66">
      <c r="A66" s="7" t="s">
        <v>3643</v>
      </c>
      <c r="B66" s="7" t="s">
        <v>2308</v>
      </c>
      <c r="C66" s="7" t="s">
        <v>2309</v>
      </c>
      <c r="D66" s="7" t="s">
        <v>2298</v>
      </c>
      <c r="E66" s="7" t="s">
        <v>3639</v>
      </c>
      <c r="F66" s="7" t="s">
        <v>3640</v>
      </c>
      <c r="G66" s="7" t="s">
        <v>3641</v>
      </c>
      <c r="H66" s="7" t="s">
        <v>1649</v>
      </c>
      <c r="I66" s="7" t="s">
        <v>3558</v>
      </c>
      <c r="J66" s="7" t="s">
        <v>3559</v>
      </c>
      <c r="K66" s="28">
        <v>46222.0</v>
      </c>
      <c r="L66" s="7" t="b">
        <v>1</v>
      </c>
    </row>
    <row r="67">
      <c r="A67" s="7" t="s">
        <v>3644</v>
      </c>
      <c r="B67" s="7" t="s">
        <v>2312</v>
      </c>
      <c r="C67" s="7" t="s">
        <v>2313</v>
      </c>
      <c r="D67" s="7" t="s">
        <v>2298</v>
      </c>
      <c r="E67" s="7" t="s">
        <v>3639</v>
      </c>
      <c r="F67" s="7" t="s">
        <v>3640</v>
      </c>
      <c r="G67" s="7" t="s">
        <v>3641</v>
      </c>
      <c r="H67" s="7">
        <v>9.3</v>
      </c>
      <c r="I67" s="7" t="s">
        <v>3558</v>
      </c>
      <c r="J67" s="7" t="s">
        <v>3559</v>
      </c>
      <c r="K67" s="28">
        <v>46222.0</v>
      </c>
      <c r="L67" s="7" t="b">
        <v>1</v>
      </c>
    </row>
    <row r="68">
      <c r="A68" s="7" t="s">
        <v>3645</v>
      </c>
      <c r="B68" s="7" t="s">
        <v>2316</v>
      </c>
      <c r="C68" s="7" t="s">
        <v>2317</v>
      </c>
      <c r="D68" s="7" t="s">
        <v>2298</v>
      </c>
      <c r="E68" s="7" t="s">
        <v>3639</v>
      </c>
      <c r="F68" s="7" t="s">
        <v>3640</v>
      </c>
      <c r="G68" s="7" t="s">
        <v>3641</v>
      </c>
      <c r="H68" s="7">
        <v>9.3</v>
      </c>
      <c r="I68" s="7" t="s">
        <v>3558</v>
      </c>
      <c r="J68" s="7" t="s">
        <v>3559</v>
      </c>
      <c r="K68" s="28">
        <v>46222.0</v>
      </c>
      <c r="L68" s="7" t="b">
        <v>1</v>
      </c>
    </row>
    <row r="69">
      <c r="A69" s="7" t="s">
        <v>3646</v>
      </c>
      <c r="B69" s="7" t="s">
        <v>2320</v>
      </c>
      <c r="C69" s="7" t="s">
        <v>2321</v>
      </c>
      <c r="D69" s="7" t="s">
        <v>2298</v>
      </c>
      <c r="E69" s="7" t="s">
        <v>3639</v>
      </c>
      <c r="F69" s="7" t="s">
        <v>3640</v>
      </c>
      <c r="G69" s="7" t="s">
        <v>3641</v>
      </c>
      <c r="H69" s="7" t="s">
        <v>2323</v>
      </c>
      <c r="I69" s="7" t="s">
        <v>3558</v>
      </c>
      <c r="J69" s="7" t="s">
        <v>3559</v>
      </c>
      <c r="K69" s="28">
        <v>46222.0</v>
      </c>
      <c r="L69" s="7" t="b">
        <v>1</v>
      </c>
    </row>
    <row r="70">
      <c r="A70" s="7" t="s">
        <v>3647</v>
      </c>
      <c r="B70" s="7" t="s">
        <v>2325</v>
      </c>
      <c r="C70" s="7" t="s">
        <v>2326</v>
      </c>
      <c r="D70" s="7" t="s">
        <v>2298</v>
      </c>
      <c r="E70" s="7" t="s">
        <v>3639</v>
      </c>
      <c r="F70" s="7" t="s">
        <v>3640</v>
      </c>
      <c r="G70" s="7" t="s">
        <v>3641</v>
      </c>
      <c r="H70" s="7" t="s">
        <v>2328</v>
      </c>
      <c r="I70" s="7" t="s">
        <v>3558</v>
      </c>
      <c r="J70" s="7" t="s">
        <v>3559</v>
      </c>
      <c r="K70" s="28">
        <v>46222.0</v>
      </c>
      <c r="L70" s="7" t="b">
        <v>1</v>
      </c>
    </row>
    <row r="71">
      <c r="A71" s="7" t="s">
        <v>3648</v>
      </c>
      <c r="B71" s="7" t="s">
        <v>2330</v>
      </c>
      <c r="C71" s="7" t="s">
        <v>2331</v>
      </c>
      <c r="D71" s="7" t="s">
        <v>2298</v>
      </c>
      <c r="E71" s="7" t="s">
        <v>3639</v>
      </c>
      <c r="F71" s="7" t="s">
        <v>3640</v>
      </c>
      <c r="G71" s="7" t="s">
        <v>3641</v>
      </c>
      <c r="H71" s="7">
        <v>6.3</v>
      </c>
      <c r="I71" s="7" t="s">
        <v>3558</v>
      </c>
      <c r="J71" s="7" t="s">
        <v>3559</v>
      </c>
      <c r="K71" s="28">
        <v>46222.0</v>
      </c>
      <c r="L71" s="7" t="b">
        <v>1</v>
      </c>
    </row>
    <row r="72">
      <c r="A72" s="7" t="s">
        <v>3649</v>
      </c>
      <c r="B72" s="7" t="s">
        <v>2334</v>
      </c>
      <c r="C72" s="7" t="s">
        <v>2335</v>
      </c>
      <c r="D72" s="7" t="s">
        <v>2336</v>
      </c>
      <c r="E72" s="7" t="s">
        <v>3650</v>
      </c>
      <c r="F72" s="7" t="s">
        <v>3651</v>
      </c>
      <c r="G72" s="7" t="s">
        <v>3652</v>
      </c>
      <c r="H72" s="7">
        <v>6.2</v>
      </c>
      <c r="I72" s="7" t="s">
        <v>3558</v>
      </c>
      <c r="J72" s="7" t="s">
        <v>3559</v>
      </c>
      <c r="K72" s="28">
        <v>46222.0</v>
      </c>
      <c r="L72" s="7" t="b">
        <v>1</v>
      </c>
    </row>
    <row r="73">
      <c r="A73" s="7" t="s">
        <v>3653</v>
      </c>
      <c r="B73" s="7" t="s">
        <v>2339</v>
      </c>
      <c r="C73" s="7" t="s">
        <v>2340</v>
      </c>
      <c r="D73" s="7" t="s">
        <v>2336</v>
      </c>
      <c r="E73" s="7" t="s">
        <v>3650</v>
      </c>
      <c r="F73" s="7" t="s">
        <v>3651</v>
      </c>
      <c r="G73" s="7" t="s">
        <v>3652</v>
      </c>
      <c r="H73" s="7">
        <v>6.2</v>
      </c>
      <c r="I73" s="7" t="s">
        <v>3558</v>
      </c>
      <c r="J73" s="7" t="s">
        <v>3559</v>
      </c>
      <c r="K73" s="28">
        <v>46222.0</v>
      </c>
      <c r="L73" s="7" t="b">
        <v>1</v>
      </c>
    </row>
    <row r="74">
      <c r="A74" s="7" t="s">
        <v>3654</v>
      </c>
      <c r="B74" s="7" t="s">
        <v>2343</v>
      </c>
      <c r="C74" s="7" t="s">
        <v>2344</v>
      </c>
      <c r="D74" s="7" t="s">
        <v>2336</v>
      </c>
      <c r="E74" s="7" t="s">
        <v>3650</v>
      </c>
      <c r="F74" s="7" t="s">
        <v>3651</v>
      </c>
      <c r="G74" s="7" t="s">
        <v>3652</v>
      </c>
      <c r="H74" s="7" t="s">
        <v>1760</v>
      </c>
      <c r="I74" s="7" t="s">
        <v>3558</v>
      </c>
      <c r="J74" s="7" t="s">
        <v>3559</v>
      </c>
      <c r="K74" s="28">
        <v>46222.0</v>
      </c>
      <c r="L74" s="7" t="b">
        <v>1</v>
      </c>
    </row>
    <row r="75">
      <c r="A75" s="7" t="s">
        <v>3655</v>
      </c>
      <c r="B75" s="7" t="s">
        <v>2347</v>
      </c>
      <c r="C75" s="7" t="s">
        <v>2348</v>
      </c>
      <c r="D75" s="7" t="s">
        <v>2336</v>
      </c>
      <c r="E75" s="7" t="s">
        <v>3650</v>
      </c>
      <c r="F75" s="7" t="s">
        <v>3651</v>
      </c>
      <c r="G75" s="7" t="s">
        <v>3652</v>
      </c>
      <c r="H75" s="7">
        <v>8.1</v>
      </c>
      <c r="I75" s="7" t="s">
        <v>3558</v>
      </c>
      <c r="J75" s="7" t="s">
        <v>3559</v>
      </c>
      <c r="K75" s="28">
        <v>46222.0</v>
      </c>
      <c r="L75" s="7" t="b">
        <v>1</v>
      </c>
    </row>
    <row r="76">
      <c r="A76" s="7" t="s">
        <v>3656</v>
      </c>
      <c r="B76" s="7" t="s">
        <v>2351</v>
      </c>
      <c r="C76" s="7" t="s">
        <v>2352</v>
      </c>
      <c r="D76" s="7" t="s">
        <v>2336</v>
      </c>
      <c r="E76" s="7" t="s">
        <v>3650</v>
      </c>
      <c r="F76" s="7" t="s">
        <v>3651</v>
      </c>
      <c r="G76" s="7" t="s">
        <v>3652</v>
      </c>
      <c r="H76" s="7" t="s">
        <v>2354</v>
      </c>
      <c r="I76" s="7" t="s">
        <v>3558</v>
      </c>
      <c r="J76" s="7" t="s">
        <v>3559</v>
      </c>
      <c r="K76" s="28">
        <v>46222.0</v>
      </c>
      <c r="L76" s="7" t="b">
        <v>1</v>
      </c>
    </row>
    <row r="77">
      <c r="A77" s="7" t="s">
        <v>3657</v>
      </c>
      <c r="B77" s="7" t="s">
        <v>2356</v>
      </c>
      <c r="C77" s="7" t="s">
        <v>2357</v>
      </c>
      <c r="D77" s="7" t="s">
        <v>2336</v>
      </c>
      <c r="E77" s="7" t="s">
        <v>3650</v>
      </c>
      <c r="F77" s="7" t="s">
        <v>3651</v>
      </c>
      <c r="G77" s="7" t="s">
        <v>3652</v>
      </c>
      <c r="H77" s="7" t="s">
        <v>1760</v>
      </c>
      <c r="I77" s="7" t="s">
        <v>3558</v>
      </c>
      <c r="J77" s="7" t="s">
        <v>3559</v>
      </c>
      <c r="K77" s="28">
        <v>46222.0</v>
      </c>
      <c r="L77" s="7" t="b">
        <v>1</v>
      </c>
    </row>
    <row r="78">
      <c r="A78" s="7" t="s">
        <v>3658</v>
      </c>
      <c r="B78" s="7" t="s">
        <v>2360</v>
      </c>
      <c r="C78" s="7" t="s">
        <v>2361</v>
      </c>
      <c r="D78" s="7" t="s">
        <v>2336</v>
      </c>
      <c r="E78" s="7" t="s">
        <v>3650</v>
      </c>
      <c r="F78" s="7" t="s">
        <v>3651</v>
      </c>
      <c r="G78" s="7" t="s">
        <v>3652</v>
      </c>
      <c r="H78" s="7" t="s">
        <v>1770</v>
      </c>
      <c r="I78" s="7" t="s">
        <v>3558</v>
      </c>
      <c r="J78" s="7" t="s">
        <v>3559</v>
      </c>
      <c r="K78" s="28">
        <v>46222.0</v>
      </c>
      <c r="L78" s="7" t="b">
        <v>1</v>
      </c>
    </row>
    <row r="79">
      <c r="A79" s="7" t="s">
        <v>3659</v>
      </c>
      <c r="B79" s="7" t="s">
        <v>2364</v>
      </c>
      <c r="C79" s="7" t="s">
        <v>2365</v>
      </c>
      <c r="D79" s="7" t="s">
        <v>2336</v>
      </c>
      <c r="E79" s="7" t="s">
        <v>3650</v>
      </c>
      <c r="F79" s="7" t="s">
        <v>3651</v>
      </c>
      <c r="G79" s="7" t="s">
        <v>3652</v>
      </c>
      <c r="H79" s="7">
        <v>10.3</v>
      </c>
      <c r="I79" s="7" t="s">
        <v>3558</v>
      </c>
      <c r="J79" s="7" t="s">
        <v>3559</v>
      </c>
      <c r="K79" s="28">
        <v>46222.0</v>
      </c>
      <c r="L79" s="7" t="b">
        <v>1</v>
      </c>
    </row>
    <row r="80">
      <c r="A80" s="7" t="s">
        <v>3660</v>
      </c>
      <c r="B80" s="7" t="s">
        <v>2368</v>
      </c>
      <c r="C80" s="7" t="s">
        <v>2369</v>
      </c>
      <c r="D80" s="7" t="s">
        <v>2370</v>
      </c>
      <c r="E80" s="7" t="s">
        <v>3661</v>
      </c>
      <c r="F80" s="7" t="s">
        <v>3662</v>
      </c>
      <c r="G80" s="7" t="s">
        <v>3663</v>
      </c>
      <c r="H80" s="7">
        <v>8.1</v>
      </c>
      <c r="I80" s="7" t="s">
        <v>3558</v>
      </c>
      <c r="J80" s="7" t="s">
        <v>3559</v>
      </c>
      <c r="K80" s="28">
        <v>46222.0</v>
      </c>
      <c r="L80" s="7" t="b">
        <v>1</v>
      </c>
    </row>
    <row r="81">
      <c r="A81" s="7" t="s">
        <v>3664</v>
      </c>
      <c r="B81" s="7" t="s">
        <v>2373</v>
      </c>
      <c r="C81" s="7" t="s">
        <v>2374</v>
      </c>
      <c r="D81" s="7" t="s">
        <v>2370</v>
      </c>
      <c r="E81" s="7" t="s">
        <v>3661</v>
      </c>
      <c r="F81" s="7" t="s">
        <v>3662</v>
      </c>
      <c r="G81" s="7" t="s">
        <v>3663</v>
      </c>
      <c r="H81" s="7" t="s">
        <v>2376</v>
      </c>
      <c r="I81" s="7" t="s">
        <v>3558</v>
      </c>
      <c r="J81" s="7" t="s">
        <v>3559</v>
      </c>
      <c r="K81" s="28">
        <v>46222.0</v>
      </c>
      <c r="L81" s="7" t="b">
        <v>1</v>
      </c>
    </row>
    <row r="82">
      <c r="A82" s="7" t="s">
        <v>3665</v>
      </c>
      <c r="B82" s="7" t="s">
        <v>2378</v>
      </c>
      <c r="C82" s="7" t="s">
        <v>2379</v>
      </c>
      <c r="D82" s="7" t="s">
        <v>2370</v>
      </c>
      <c r="E82" s="7" t="s">
        <v>3661</v>
      </c>
      <c r="F82" s="7" t="s">
        <v>3662</v>
      </c>
      <c r="G82" s="7" t="s">
        <v>3663</v>
      </c>
      <c r="H82" s="7" t="s">
        <v>2381</v>
      </c>
      <c r="I82" s="7" t="s">
        <v>3558</v>
      </c>
      <c r="J82" s="7" t="s">
        <v>3559</v>
      </c>
      <c r="K82" s="28">
        <v>46222.0</v>
      </c>
      <c r="L82" s="7" t="b">
        <v>1</v>
      </c>
    </row>
    <row r="83">
      <c r="A83" s="7" t="s">
        <v>3666</v>
      </c>
      <c r="B83" s="7" t="s">
        <v>2383</v>
      </c>
      <c r="C83" s="7" t="s">
        <v>2384</v>
      </c>
      <c r="D83" s="7" t="s">
        <v>2370</v>
      </c>
      <c r="E83" s="7" t="s">
        <v>3661</v>
      </c>
      <c r="F83" s="7" t="s">
        <v>3662</v>
      </c>
      <c r="G83" s="7" t="s">
        <v>3663</v>
      </c>
      <c r="H83" s="7">
        <v>8.6</v>
      </c>
      <c r="I83" s="7" t="s">
        <v>3558</v>
      </c>
      <c r="J83" s="7" t="s">
        <v>3559</v>
      </c>
      <c r="K83" s="28">
        <v>46222.0</v>
      </c>
      <c r="L83" s="7" t="b">
        <v>1</v>
      </c>
    </row>
    <row r="84">
      <c r="A84" s="7" t="s">
        <v>3667</v>
      </c>
      <c r="B84" s="7" t="s">
        <v>2387</v>
      </c>
      <c r="C84" s="7" t="s">
        <v>2388</v>
      </c>
      <c r="D84" s="7" t="s">
        <v>2370</v>
      </c>
      <c r="E84" s="7" t="s">
        <v>3661</v>
      </c>
      <c r="F84" s="7" t="s">
        <v>3662</v>
      </c>
      <c r="G84" s="7" t="s">
        <v>3663</v>
      </c>
      <c r="H84" s="7" t="s">
        <v>1760</v>
      </c>
      <c r="I84" s="7" t="s">
        <v>3558</v>
      </c>
      <c r="J84" s="7" t="s">
        <v>3559</v>
      </c>
      <c r="K84" s="28">
        <v>46222.0</v>
      </c>
      <c r="L84" s="7" t="b">
        <v>1</v>
      </c>
    </row>
    <row r="85">
      <c r="A85" s="7" t="s">
        <v>3668</v>
      </c>
      <c r="B85" s="7" t="s">
        <v>2391</v>
      </c>
      <c r="C85" s="7" t="s">
        <v>2392</v>
      </c>
      <c r="D85" s="7" t="s">
        <v>2370</v>
      </c>
      <c r="E85" s="7" t="s">
        <v>3661</v>
      </c>
      <c r="F85" s="7" t="s">
        <v>3662</v>
      </c>
      <c r="G85" s="7" t="s">
        <v>3663</v>
      </c>
      <c r="H85" s="7" t="s">
        <v>2394</v>
      </c>
      <c r="I85" s="7" t="s">
        <v>3558</v>
      </c>
      <c r="J85" s="7" t="s">
        <v>3559</v>
      </c>
      <c r="K85" s="28">
        <v>46222.0</v>
      </c>
      <c r="L85" s="7" t="b">
        <v>1</v>
      </c>
    </row>
    <row r="86">
      <c r="A86" s="7" t="s">
        <v>3669</v>
      </c>
      <c r="B86" s="7" t="s">
        <v>2396</v>
      </c>
      <c r="C86" s="7" t="s">
        <v>2397</v>
      </c>
      <c r="D86" s="7" t="s">
        <v>2370</v>
      </c>
      <c r="E86" s="7" t="s">
        <v>3661</v>
      </c>
      <c r="F86" s="7" t="s">
        <v>3662</v>
      </c>
      <c r="G86" s="7" t="s">
        <v>3663</v>
      </c>
      <c r="H86" s="7" t="s">
        <v>2399</v>
      </c>
      <c r="I86" s="7" t="s">
        <v>3558</v>
      </c>
      <c r="J86" s="7" t="s">
        <v>3559</v>
      </c>
      <c r="K86" s="28">
        <v>46222.0</v>
      </c>
      <c r="L86" s="7" t="b">
        <v>1</v>
      </c>
    </row>
    <row r="87">
      <c r="A87" s="7" t="s">
        <v>3670</v>
      </c>
      <c r="B87" s="7" t="s">
        <v>2401</v>
      </c>
      <c r="C87" s="7" t="s">
        <v>2402</v>
      </c>
      <c r="D87" s="7" t="s">
        <v>2370</v>
      </c>
      <c r="E87" s="7" t="s">
        <v>3661</v>
      </c>
      <c r="F87" s="7" t="s">
        <v>3662</v>
      </c>
      <c r="G87" s="7" t="s">
        <v>3663</v>
      </c>
      <c r="H87" s="7">
        <v>8.1</v>
      </c>
      <c r="I87" s="7" t="s">
        <v>3558</v>
      </c>
      <c r="J87" s="7" t="s">
        <v>3559</v>
      </c>
      <c r="K87" s="28">
        <v>46222.0</v>
      </c>
      <c r="L87" s="7" t="b">
        <v>1</v>
      </c>
    </row>
    <row r="88">
      <c r="A88" s="7" t="s">
        <v>3671</v>
      </c>
      <c r="B88" s="7" t="s">
        <v>2405</v>
      </c>
      <c r="C88" s="7" t="s">
        <v>2406</v>
      </c>
      <c r="D88" s="7" t="s">
        <v>2370</v>
      </c>
      <c r="E88" s="7" t="s">
        <v>3661</v>
      </c>
      <c r="F88" s="7" t="s">
        <v>3662</v>
      </c>
      <c r="G88" s="7" t="s">
        <v>3663</v>
      </c>
      <c r="H88" s="7" t="s">
        <v>1701</v>
      </c>
      <c r="I88" s="7" t="s">
        <v>3558</v>
      </c>
      <c r="J88" s="7" t="s">
        <v>3559</v>
      </c>
      <c r="K88" s="28">
        <v>46222.0</v>
      </c>
      <c r="L88" s="7" t="b">
        <v>1</v>
      </c>
    </row>
    <row r="89">
      <c r="A89" s="7" t="s">
        <v>3672</v>
      </c>
      <c r="B89" s="7" t="s">
        <v>2409</v>
      </c>
      <c r="C89" s="7" t="s">
        <v>2410</v>
      </c>
      <c r="D89" s="7" t="s">
        <v>2370</v>
      </c>
      <c r="E89" s="7" t="s">
        <v>3661</v>
      </c>
      <c r="F89" s="7" t="s">
        <v>3662</v>
      </c>
      <c r="G89" s="7" t="s">
        <v>3663</v>
      </c>
      <c r="H89" s="7" t="s">
        <v>2412</v>
      </c>
      <c r="I89" s="7" t="s">
        <v>3558</v>
      </c>
      <c r="J89" s="7" t="s">
        <v>3559</v>
      </c>
      <c r="K89" s="28">
        <v>46222.0</v>
      </c>
      <c r="L89" s="7" t="b">
        <v>1</v>
      </c>
    </row>
    <row r="90">
      <c r="A90" s="7" t="s">
        <v>3673</v>
      </c>
      <c r="B90" s="7" t="s">
        <v>2414</v>
      </c>
      <c r="C90" s="7" t="s">
        <v>2415</v>
      </c>
      <c r="D90" s="7" t="s">
        <v>2370</v>
      </c>
      <c r="E90" s="7" t="s">
        <v>3661</v>
      </c>
      <c r="F90" s="7" t="s">
        <v>3662</v>
      </c>
      <c r="G90" s="7" t="s">
        <v>3663</v>
      </c>
      <c r="H90" s="7" t="s">
        <v>2417</v>
      </c>
      <c r="I90" s="7" t="s">
        <v>3558</v>
      </c>
      <c r="J90" s="7" t="s">
        <v>3559</v>
      </c>
      <c r="K90" s="28">
        <v>46222.0</v>
      </c>
      <c r="L90" s="7" t="b">
        <v>1</v>
      </c>
    </row>
    <row r="91">
      <c r="A91" s="7" t="s">
        <v>3674</v>
      </c>
      <c r="B91" s="7" t="s">
        <v>2419</v>
      </c>
      <c r="C91" s="7" t="s">
        <v>2420</v>
      </c>
      <c r="D91" s="7" t="s">
        <v>2370</v>
      </c>
      <c r="E91" s="7" t="s">
        <v>3661</v>
      </c>
      <c r="F91" s="7" t="s">
        <v>3662</v>
      </c>
      <c r="G91" s="7" t="s">
        <v>3663</v>
      </c>
      <c r="H91" s="7">
        <v>10.2</v>
      </c>
      <c r="I91" s="7" t="s">
        <v>3558</v>
      </c>
      <c r="J91" s="7" t="s">
        <v>3559</v>
      </c>
      <c r="K91" s="28">
        <v>46222.0</v>
      </c>
      <c r="L91" s="7" t="b">
        <v>1</v>
      </c>
    </row>
    <row r="92">
      <c r="A92" s="7" t="s">
        <v>3675</v>
      </c>
      <c r="B92" s="7" t="s">
        <v>2423</v>
      </c>
      <c r="C92" s="7" t="s">
        <v>2424</v>
      </c>
      <c r="D92" s="7" t="s">
        <v>2425</v>
      </c>
      <c r="E92" s="7" t="s">
        <v>3676</v>
      </c>
      <c r="F92" s="7" t="s">
        <v>3677</v>
      </c>
      <c r="G92" s="7" t="s">
        <v>3584</v>
      </c>
      <c r="H92" s="7" t="s">
        <v>1654</v>
      </c>
      <c r="I92" s="7" t="s">
        <v>3558</v>
      </c>
      <c r="J92" s="7" t="s">
        <v>3559</v>
      </c>
      <c r="K92" s="28">
        <v>46222.0</v>
      </c>
      <c r="L92" s="7" t="b">
        <v>1</v>
      </c>
    </row>
    <row r="93">
      <c r="A93" s="7" t="s">
        <v>3678</v>
      </c>
      <c r="B93" s="7" t="s">
        <v>2428</v>
      </c>
      <c r="C93" s="7" t="s">
        <v>2429</v>
      </c>
      <c r="D93" s="7" t="s">
        <v>2425</v>
      </c>
      <c r="E93" s="7" t="s">
        <v>3676</v>
      </c>
      <c r="F93" s="7" t="s">
        <v>3677</v>
      </c>
      <c r="G93" s="7" t="s">
        <v>3584</v>
      </c>
      <c r="H93" s="7" t="s">
        <v>1701</v>
      </c>
      <c r="I93" s="7" t="s">
        <v>3558</v>
      </c>
      <c r="J93" s="7" t="s">
        <v>3559</v>
      </c>
      <c r="K93" s="28">
        <v>46222.0</v>
      </c>
      <c r="L93" s="7" t="b">
        <v>1</v>
      </c>
    </row>
    <row r="94">
      <c r="A94" s="7" t="s">
        <v>3679</v>
      </c>
      <c r="B94" s="7" t="s">
        <v>2432</v>
      </c>
      <c r="C94" s="7" t="s">
        <v>2433</v>
      </c>
      <c r="D94" s="7" t="s">
        <v>2425</v>
      </c>
      <c r="E94" s="7" t="s">
        <v>3676</v>
      </c>
      <c r="F94" s="7" t="s">
        <v>3677</v>
      </c>
      <c r="G94" s="7" t="s">
        <v>3584</v>
      </c>
      <c r="H94" s="7" t="s">
        <v>2381</v>
      </c>
      <c r="I94" s="7" t="s">
        <v>3558</v>
      </c>
      <c r="J94" s="7" t="s">
        <v>3559</v>
      </c>
      <c r="K94" s="28">
        <v>46222.0</v>
      </c>
      <c r="L94" s="7" t="b">
        <v>1</v>
      </c>
    </row>
    <row r="95">
      <c r="A95" s="7" t="s">
        <v>3680</v>
      </c>
      <c r="B95" s="7" t="s">
        <v>2436</v>
      </c>
      <c r="C95" s="7" t="s">
        <v>2437</v>
      </c>
      <c r="D95" s="7" t="s">
        <v>2425</v>
      </c>
      <c r="E95" s="7" t="s">
        <v>3676</v>
      </c>
      <c r="F95" s="7" t="s">
        <v>3677</v>
      </c>
      <c r="G95" s="7" t="s">
        <v>3584</v>
      </c>
      <c r="H95" s="7" t="s">
        <v>1760</v>
      </c>
      <c r="I95" s="7" t="s">
        <v>3558</v>
      </c>
      <c r="J95" s="7" t="s">
        <v>3559</v>
      </c>
      <c r="K95" s="28">
        <v>46222.0</v>
      </c>
      <c r="L95" s="7" t="b">
        <v>1</v>
      </c>
    </row>
    <row r="96">
      <c r="A96" s="7" t="s">
        <v>3681</v>
      </c>
      <c r="B96" s="7" t="s">
        <v>2440</v>
      </c>
      <c r="C96" s="7" t="s">
        <v>2441</v>
      </c>
      <c r="D96" s="7" t="s">
        <v>2425</v>
      </c>
      <c r="E96" s="7" t="s">
        <v>3676</v>
      </c>
      <c r="F96" s="7" t="s">
        <v>3677</v>
      </c>
      <c r="G96" s="7" t="s">
        <v>3584</v>
      </c>
      <c r="H96" s="7" t="s">
        <v>2443</v>
      </c>
      <c r="I96" s="7" t="s">
        <v>3558</v>
      </c>
      <c r="J96" s="7" t="s">
        <v>3559</v>
      </c>
      <c r="K96" s="28">
        <v>46222.0</v>
      </c>
      <c r="L96" s="7" t="b">
        <v>1</v>
      </c>
    </row>
    <row r="97">
      <c r="A97" s="7" t="s">
        <v>3682</v>
      </c>
      <c r="B97" s="7" t="s">
        <v>2445</v>
      </c>
      <c r="C97" s="7" t="s">
        <v>2446</v>
      </c>
      <c r="D97" s="7" t="s">
        <v>2425</v>
      </c>
      <c r="E97" s="7" t="s">
        <v>3676</v>
      </c>
      <c r="F97" s="7" t="s">
        <v>3677</v>
      </c>
      <c r="G97" s="7" t="s">
        <v>3584</v>
      </c>
      <c r="H97" s="7">
        <v>7.2</v>
      </c>
      <c r="I97" s="7" t="s">
        <v>3558</v>
      </c>
      <c r="J97" s="7" t="s">
        <v>3559</v>
      </c>
      <c r="K97" s="28">
        <v>46222.0</v>
      </c>
      <c r="L97" s="7" t="b">
        <v>1</v>
      </c>
    </row>
    <row r="98">
      <c r="A98" s="7" t="s">
        <v>3683</v>
      </c>
      <c r="B98" s="7" t="s">
        <v>2449</v>
      </c>
      <c r="C98" s="7" t="s">
        <v>2450</v>
      </c>
      <c r="D98" s="7" t="s">
        <v>2425</v>
      </c>
      <c r="E98" s="7" t="s">
        <v>3676</v>
      </c>
      <c r="F98" s="7" t="s">
        <v>3677</v>
      </c>
      <c r="G98" s="7" t="s">
        <v>3584</v>
      </c>
      <c r="H98" s="7">
        <v>7.2</v>
      </c>
      <c r="I98" s="7" t="s">
        <v>3558</v>
      </c>
      <c r="J98" s="7" t="s">
        <v>3559</v>
      </c>
      <c r="K98" s="28">
        <v>46222.0</v>
      </c>
      <c r="L98" s="7" t="b">
        <v>1</v>
      </c>
    </row>
    <row r="99">
      <c r="A99" s="7" t="s">
        <v>3684</v>
      </c>
      <c r="B99" s="7" t="s">
        <v>2453</v>
      </c>
      <c r="C99" s="7" t="s">
        <v>2454</v>
      </c>
      <c r="D99" s="7" t="s">
        <v>2425</v>
      </c>
      <c r="E99" s="7" t="s">
        <v>3676</v>
      </c>
      <c r="F99" s="7" t="s">
        <v>3677</v>
      </c>
      <c r="G99" s="7" t="s">
        <v>3584</v>
      </c>
      <c r="H99" s="7" t="s">
        <v>1654</v>
      </c>
      <c r="I99" s="7" t="s">
        <v>3558</v>
      </c>
      <c r="J99" s="7" t="s">
        <v>3559</v>
      </c>
      <c r="K99" s="28">
        <v>46222.0</v>
      </c>
      <c r="L99" s="7" t="b">
        <v>1</v>
      </c>
    </row>
    <row r="100">
      <c r="A100" s="7" t="s">
        <v>3685</v>
      </c>
      <c r="B100" s="7" t="s">
        <v>2457</v>
      </c>
      <c r="C100" s="7" t="s">
        <v>2458</v>
      </c>
      <c r="D100" s="7" t="s">
        <v>2425</v>
      </c>
      <c r="E100" s="7" t="s">
        <v>3676</v>
      </c>
      <c r="F100" s="7" t="s">
        <v>3677</v>
      </c>
      <c r="G100" s="7" t="s">
        <v>3584</v>
      </c>
      <c r="H100" s="7" t="s">
        <v>2044</v>
      </c>
      <c r="I100" s="7" t="s">
        <v>3558</v>
      </c>
      <c r="J100" s="7" t="s">
        <v>3559</v>
      </c>
      <c r="K100" s="28">
        <v>46222.0</v>
      </c>
      <c r="L100" s="7" t="b">
        <v>1</v>
      </c>
    </row>
    <row r="101">
      <c r="A101" s="7" t="s">
        <v>3686</v>
      </c>
      <c r="B101" s="7" t="s">
        <v>2461</v>
      </c>
      <c r="C101" s="7" t="s">
        <v>2462</v>
      </c>
      <c r="D101" s="7" t="s">
        <v>2425</v>
      </c>
      <c r="E101" s="7" t="s">
        <v>3676</v>
      </c>
      <c r="F101" s="7" t="s">
        <v>3677</v>
      </c>
      <c r="G101" s="7" t="s">
        <v>3584</v>
      </c>
      <c r="H101" s="7" t="s">
        <v>2464</v>
      </c>
      <c r="I101" s="7" t="s">
        <v>3558</v>
      </c>
      <c r="J101" s="7" t="s">
        <v>3559</v>
      </c>
      <c r="K101" s="28">
        <v>46222.0</v>
      </c>
      <c r="L101" s="7" t="b">
        <v>1</v>
      </c>
    </row>
    <row r="102">
      <c r="A102" s="7" t="s">
        <v>3687</v>
      </c>
      <c r="B102" s="7" t="s">
        <v>2466</v>
      </c>
      <c r="C102" s="7" t="s">
        <v>2467</v>
      </c>
      <c r="D102" s="7" t="s">
        <v>2468</v>
      </c>
      <c r="E102" s="7" t="s">
        <v>3688</v>
      </c>
      <c r="F102" s="7" t="s">
        <v>3689</v>
      </c>
      <c r="G102" s="7" t="s">
        <v>3690</v>
      </c>
      <c r="H102" s="7" t="s">
        <v>2470</v>
      </c>
      <c r="I102" s="7" t="s">
        <v>3558</v>
      </c>
      <c r="J102" s="7" t="s">
        <v>3559</v>
      </c>
      <c r="K102" s="28">
        <v>46222.0</v>
      </c>
      <c r="L102" s="7" t="b">
        <v>1</v>
      </c>
    </row>
    <row r="103">
      <c r="A103" s="7" t="s">
        <v>3691</v>
      </c>
      <c r="B103" s="7" t="s">
        <v>2472</v>
      </c>
      <c r="C103" s="7" t="s">
        <v>2473</v>
      </c>
      <c r="D103" s="7" t="s">
        <v>2468</v>
      </c>
      <c r="E103" s="7" t="s">
        <v>3688</v>
      </c>
      <c r="F103" s="7" t="s">
        <v>3689</v>
      </c>
      <c r="G103" s="7" t="s">
        <v>3690</v>
      </c>
      <c r="H103" s="7" t="s">
        <v>1701</v>
      </c>
      <c r="I103" s="7" t="s">
        <v>3558</v>
      </c>
      <c r="J103" s="7" t="s">
        <v>3559</v>
      </c>
      <c r="K103" s="28">
        <v>46222.0</v>
      </c>
      <c r="L103" s="7" t="b">
        <v>1</v>
      </c>
    </row>
    <row r="104">
      <c r="A104" s="7" t="s">
        <v>3692</v>
      </c>
      <c r="B104" s="7" t="s">
        <v>2476</v>
      </c>
      <c r="C104" s="7" t="s">
        <v>2477</v>
      </c>
      <c r="D104" s="7" t="s">
        <v>2468</v>
      </c>
      <c r="E104" s="7" t="s">
        <v>3688</v>
      </c>
      <c r="F104" s="7" t="s">
        <v>3689</v>
      </c>
      <c r="G104" s="7" t="s">
        <v>3690</v>
      </c>
      <c r="H104" s="7">
        <v>8.6</v>
      </c>
      <c r="I104" s="7" t="s">
        <v>3558</v>
      </c>
      <c r="J104" s="7" t="s">
        <v>3559</v>
      </c>
      <c r="K104" s="28">
        <v>46222.0</v>
      </c>
      <c r="L104" s="7" t="b">
        <v>1</v>
      </c>
    </row>
    <row r="105">
      <c r="A105" s="7" t="s">
        <v>3693</v>
      </c>
      <c r="B105" s="7" t="s">
        <v>2480</v>
      </c>
      <c r="C105" s="7" t="s">
        <v>2481</v>
      </c>
      <c r="D105" s="7" t="s">
        <v>2468</v>
      </c>
      <c r="E105" s="7" t="s">
        <v>3688</v>
      </c>
      <c r="F105" s="7" t="s">
        <v>3689</v>
      </c>
      <c r="G105" s="7" t="s">
        <v>3690</v>
      </c>
      <c r="H105" s="7">
        <v>8.6</v>
      </c>
      <c r="I105" s="7" t="s">
        <v>3558</v>
      </c>
      <c r="J105" s="7" t="s">
        <v>3559</v>
      </c>
      <c r="K105" s="28">
        <v>46222.0</v>
      </c>
      <c r="L105" s="7" t="b">
        <v>1</v>
      </c>
    </row>
    <row r="106">
      <c r="A106" s="7" t="s">
        <v>3694</v>
      </c>
      <c r="B106" s="7" t="s">
        <v>2484</v>
      </c>
      <c r="C106" s="7" t="s">
        <v>2485</v>
      </c>
      <c r="D106" s="7" t="s">
        <v>2468</v>
      </c>
      <c r="E106" s="7" t="s">
        <v>3688</v>
      </c>
      <c r="F106" s="7" t="s">
        <v>3689</v>
      </c>
      <c r="G106" s="7" t="s">
        <v>3690</v>
      </c>
      <c r="H106" s="7" t="s">
        <v>1701</v>
      </c>
      <c r="I106" s="7" t="s">
        <v>3558</v>
      </c>
      <c r="J106" s="7" t="s">
        <v>3559</v>
      </c>
      <c r="K106" s="28">
        <v>46222.0</v>
      </c>
      <c r="L106" s="7" t="b">
        <v>1</v>
      </c>
    </row>
    <row r="107">
      <c r="A107" s="7" t="s">
        <v>3695</v>
      </c>
      <c r="B107" s="7" t="s">
        <v>2488</v>
      </c>
      <c r="C107" s="7" t="s">
        <v>2489</v>
      </c>
      <c r="D107" s="7" t="s">
        <v>2468</v>
      </c>
      <c r="E107" s="7" t="s">
        <v>3688</v>
      </c>
      <c r="F107" s="7" t="s">
        <v>3689</v>
      </c>
      <c r="G107" s="7" t="s">
        <v>3690</v>
      </c>
      <c r="H107" s="7" t="s">
        <v>2491</v>
      </c>
      <c r="I107" s="7" t="s">
        <v>3558</v>
      </c>
      <c r="J107" s="7" t="s">
        <v>3559</v>
      </c>
      <c r="K107" s="28">
        <v>46222.0</v>
      </c>
      <c r="L107" s="7" t="b">
        <v>1</v>
      </c>
    </row>
    <row r="108">
      <c r="A108" s="7" t="s">
        <v>3696</v>
      </c>
      <c r="B108" s="7" t="s">
        <v>2493</v>
      </c>
      <c r="C108" s="7" t="s">
        <v>2494</v>
      </c>
      <c r="D108" s="7" t="s">
        <v>2468</v>
      </c>
      <c r="E108" s="7" t="s">
        <v>3688</v>
      </c>
      <c r="F108" s="7" t="s">
        <v>3689</v>
      </c>
      <c r="G108" s="7" t="s">
        <v>3690</v>
      </c>
      <c r="H108" s="7">
        <v>4.4</v>
      </c>
      <c r="I108" s="7" t="s">
        <v>3558</v>
      </c>
      <c r="J108" s="7" t="s">
        <v>3559</v>
      </c>
      <c r="K108" s="28">
        <v>46222.0</v>
      </c>
      <c r="L108" s="7" t="b">
        <v>1</v>
      </c>
    </row>
    <row r="109">
      <c r="A109" s="7" t="s">
        <v>3697</v>
      </c>
      <c r="B109" s="7" t="s">
        <v>2497</v>
      </c>
      <c r="C109" s="7" t="s">
        <v>2498</v>
      </c>
      <c r="D109" s="7" t="s">
        <v>2468</v>
      </c>
      <c r="E109" s="7" t="s">
        <v>3688</v>
      </c>
      <c r="F109" s="7" t="s">
        <v>3689</v>
      </c>
      <c r="G109" s="7" t="s">
        <v>3690</v>
      </c>
      <c r="H109" s="7" t="s">
        <v>2500</v>
      </c>
      <c r="I109" s="7" t="s">
        <v>3558</v>
      </c>
      <c r="J109" s="7" t="s">
        <v>3559</v>
      </c>
      <c r="K109" s="28">
        <v>46222.0</v>
      </c>
      <c r="L109" s="7" t="b">
        <v>1</v>
      </c>
    </row>
    <row r="110">
      <c r="A110" s="7" t="s">
        <v>3698</v>
      </c>
      <c r="B110" s="7" t="s">
        <v>2502</v>
      </c>
      <c r="C110" s="7" t="s">
        <v>2503</v>
      </c>
      <c r="D110" s="7" t="s">
        <v>2468</v>
      </c>
      <c r="E110" s="7" t="s">
        <v>3688</v>
      </c>
      <c r="F110" s="7" t="s">
        <v>3689</v>
      </c>
      <c r="G110" s="7" t="s">
        <v>3690</v>
      </c>
      <c r="H110" s="7" t="s">
        <v>2505</v>
      </c>
      <c r="I110" s="7" t="s">
        <v>3558</v>
      </c>
      <c r="J110" s="7" t="s">
        <v>3559</v>
      </c>
      <c r="K110" s="28">
        <v>46222.0</v>
      </c>
      <c r="L110" s="7" t="b">
        <v>1</v>
      </c>
    </row>
    <row r="111">
      <c r="A111" s="7" t="s">
        <v>3699</v>
      </c>
      <c r="B111" s="7" t="s">
        <v>2507</v>
      </c>
      <c r="C111" s="7" t="s">
        <v>2508</v>
      </c>
      <c r="D111" s="7" t="s">
        <v>2468</v>
      </c>
      <c r="E111" s="7" t="s">
        <v>3688</v>
      </c>
      <c r="F111" s="7" t="s">
        <v>3689</v>
      </c>
      <c r="G111" s="7" t="s">
        <v>3690</v>
      </c>
      <c r="H111" s="7" t="s">
        <v>2510</v>
      </c>
      <c r="I111" s="7" t="s">
        <v>3558</v>
      </c>
      <c r="J111" s="7" t="s">
        <v>3559</v>
      </c>
      <c r="K111" s="28">
        <v>46222.0</v>
      </c>
      <c r="L111" s="7" t="b">
        <v>1</v>
      </c>
    </row>
    <row r="112">
      <c r="A112" s="7" t="s">
        <v>3700</v>
      </c>
      <c r="B112" s="7" t="s">
        <v>2512</v>
      </c>
      <c r="C112" s="7" t="s">
        <v>2513</v>
      </c>
      <c r="D112" s="7" t="s">
        <v>2514</v>
      </c>
      <c r="E112" s="7" t="s">
        <v>3701</v>
      </c>
      <c r="F112" s="7" t="s">
        <v>3702</v>
      </c>
      <c r="G112" s="7" t="s">
        <v>3703</v>
      </c>
      <c r="H112" s="7" t="s">
        <v>2174</v>
      </c>
      <c r="I112" s="7" t="s">
        <v>3558</v>
      </c>
      <c r="J112" s="7" t="s">
        <v>3559</v>
      </c>
      <c r="K112" s="28">
        <v>46222.0</v>
      </c>
      <c r="L112" s="7" t="b">
        <v>1</v>
      </c>
    </row>
    <row r="113">
      <c r="A113" s="7" t="s">
        <v>3704</v>
      </c>
      <c r="B113" s="7" t="s">
        <v>2517</v>
      </c>
      <c r="C113" s="7" t="s">
        <v>2518</v>
      </c>
      <c r="D113" s="7" t="s">
        <v>2514</v>
      </c>
      <c r="E113" s="7" t="s">
        <v>3701</v>
      </c>
      <c r="F113" s="7" t="s">
        <v>3702</v>
      </c>
      <c r="G113" s="7" t="s">
        <v>3703</v>
      </c>
      <c r="H113" s="7" t="s">
        <v>1659</v>
      </c>
      <c r="I113" s="7" t="s">
        <v>3558</v>
      </c>
      <c r="J113" s="7" t="s">
        <v>3559</v>
      </c>
      <c r="K113" s="28">
        <v>46222.0</v>
      </c>
      <c r="L113" s="7" t="b">
        <v>1</v>
      </c>
    </row>
    <row r="114">
      <c r="A114" s="7" t="s">
        <v>3705</v>
      </c>
      <c r="B114" s="7" t="s">
        <v>2521</v>
      </c>
      <c r="C114" s="7" t="s">
        <v>2522</v>
      </c>
      <c r="D114" s="7" t="s">
        <v>2514</v>
      </c>
      <c r="E114" s="7" t="s">
        <v>3701</v>
      </c>
      <c r="F114" s="7" t="s">
        <v>3702</v>
      </c>
      <c r="G114" s="7" t="s">
        <v>3703</v>
      </c>
      <c r="H114" s="7" t="s">
        <v>1760</v>
      </c>
      <c r="I114" s="7" t="s">
        <v>3558</v>
      </c>
      <c r="J114" s="7" t="s">
        <v>3559</v>
      </c>
      <c r="K114" s="28">
        <v>46222.0</v>
      </c>
      <c r="L114" s="7" t="b">
        <v>1</v>
      </c>
    </row>
    <row r="115">
      <c r="A115" s="7" t="s">
        <v>3706</v>
      </c>
      <c r="B115" s="7" t="s">
        <v>2525</v>
      </c>
      <c r="C115" s="7" t="s">
        <v>2526</v>
      </c>
      <c r="D115" s="7" t="s">
        <v>2514</v>
      </c>
      <c r="E115" s="7" t="s">
        <v>3701</v>
      </c>
      <c r="F115" s="7" t="s">
        <v>3702</v>
      </c>
      <c r="G115" s="7" t="s">
        <v>3703</v>
      </c>
      <c r="H115" s="7" t="s">
        <v>2528</v>
      </c>
      <c r="I115" s="7" t="s">
        <v>3558</v>
      </c>
      <c r="J115" s="7" t="s">
        <v>3559</v>
      </c>
      <c r="K115" s="28">
        <v>46222.0</v>
      </c>
      <c r="L115" s="7" t="b">
        <v>1</v>
      </c>
    </row>
    <row r="116">
      <c r="A116" s="7" t="s">
        <v>3707</v>
      </c>
      <c r="B116" s="7" t="s">
        <v>2530</v>
      </c>
      <c r="C116" s="7" t="s">
        <v>2531</v>
      </c>
      <c r="D116" s="7" t="s">
        <v>2514</v>
      </c>
      <c r="E116" s="7" t="s">
        <v>3701</v>
      </c>
      <c r="F116" s="7" t="s">
        <v>3702</v>
      </c>
      <c r="G116" s="7" t="s">
        <v>3703</v>
      </c>
      <c r="H116" s="7" t="s">
        <v>2470</v>
      </c>
      <c r="I116" s="7" t="s">
        <v>3558</v>
      </c>
      <c r="J116" s="7" t="s">
        <v>3559</v>
      </c>
      <c r="K116" s="28">
        <v>46222.0</v>
      </c>
      <c r="L116" s="7" t="b">
        <v>1</v>
      </c>
    </row>
    <row r="117">
      <c r="A117" s="7" t="s">
        <v>3708</v>
      </c>
      <c r="B117" s="7" t="s">
        <v>2534</v>
      </c>
      <c r="C117" s="7" t="s">
        <v>2535</v>
      </c>
      <c r="D117" s="7" t="s">
        <v>2514</v>
      </c>
      <c r="E117" s="7" t="s">
        <v>3701</v>
      </c>
      <c r="F117" s="7" t="s">
        <v>3702</v>
      </c>
      <c r="G117" s="7" t="s">
        <v>3703</v>
      </c>
      <c r="H117" s="7" t="s">
        <v>2537</v>
      </c>
      <c r="I117" s="7" t="s">
        <v>3558</v>
      </c>
      <c r="J117" s="7" t="s">
        <v>3559</v>
      </c>
      <c r="K117" s="28">
        <v>46222.0</v>
      </c>
      <c r="L117" s="7" t="b">
        <v>1</v>
      </c>
    </row>
    <row r="118">
      <c r="A118" s="7" t="s">
        <v>3709</v>
      </c>
      <c r="B118" s="7" t="s">
        <v>2539</v>
      </c>
      <c r="C118" s="7" t="s">
        <v>2540</v>
      </c>
      <c r="D118" s="7" t="s">
        <v>2514</v>
      </c>
      <c r="E118" s="7" t="s">
        <v>3701</v>
      </c>
      <c r="F118" s="7" t="s">
        <v>3702</v>
      </c>
      <c r="G118" s="7" t="s">
        <v>3703</v>
      </c>
      <c r="H118" s="7" t="s">
        <v>2528</v>
      </c>
      <c r="I118" s="7" t="s">
        <v>3558</v>
      </c>
      <c r="J118" s="7" t="s">
        <v>3559</v>
      </c>
      <c r="K118" s="28">
        <v>46222.0</v>
      </c>
      <c r="L118" s="7" t="b">
        <v>1</v>
      </c>
    </row>
    <row r="119">
      <c r="A119" s="7" t="s">
        <v>3710</v>
      </c>
      <c r="B119" s="7" t="s">
        <v>2543</v>
      </c>
      <c r="C119" s="7" t="s">
        <v>2544</v>
      </c>
      <c r="D119" s="7" t="s">
        <v>2514</v>
      </c>
      <c r="E119" s="7" t="s">
        <v>3701</v>
      </c>
      <c r="F119" s="7" t="s">
        <v>3702</v>
      </c>
      <c r="G119" s="7" t="s">
        <v>3703</v>
      </c>
      <c r="H119" s="7" t="s">
        <v>1732</v>
      </c>
      <c r="I119" s="7" t="s">
        <v>3558</v>
      </c>
      <c r="J119" s="7" t="s">
        <v>3559</v>
      </c>
      <c r="K119" s="28">
        <v>46222.0</v>
      </c>
      <c r="L119" s="7" t="b">
        <v>1</v>
      </c>
    </row>
    <row r="120">
      <c r="A120" s="7" t="s">
        <v>3711</v>
      </c>
      <c r="B120" s="7" t="s">
        <v>2547</v>
      </c>
      <c r="C120" s="7" t="s">
        <v>2548</v>
      </c>
      <c r="D120" s="7" t="s">
        <v>2514</v>
      </c>
      <c r="E120" s="7" t="s">
        <v>3701</v>
      </c>
      <c r="F120" s="7" t="s">
        <v>3702</v>
      </c>
      <c r="G120" s="7" t="s">
        <v>3703</v>
      </c>
      <c r="H120" s="7" t="s">
        <v>1760</v>
      </c>
      <c r="I120" s="7" t="s">
        <v>3558</v>
      </c>
      <c r="J120" s="7" t="s">
        <v>3559</v>
      </c>
      <c r="K120" s="28">
        <v>46222.0</v>
      </c>
      <c r="L120" s="7" t="b">
        <v>1</v>
      </c>
    </row>
    <row r="121">
      <c r="A121" s="7" t="s">
        <v>3712</v>
      </c>
      <c r="B121" s="7" t="s">
        <v>2551</v>
      </c>
      <c r="C121" s="7" t="s">
        <v>2552</v>
      </c>
      <c r="D121" s="7" t="s">
        <v>2514</v>
      </c>
      <c r="E121" s="7" t="s">
        <v>3701</v>
      </c>
      <c r="F121" s="7" t="s">
        <v>3702</v>
      </c>
      <c r="G121" s="7" t="s">
        <v>3703</v>
      </c>
      <c r="H121" s="7" t="s">
        <v>2554</v>
      </c>
      <c r="I121" s="7" t="s">
        <v>3558</v>
      </c>
      <c r="J121" s="7" t="s">
        <v>3559</v>
      </c>
      <c r="K121" s="28">
        <v>46222.0</v>
      </c>
      <c r="L121" s="7" t="b">
        <v>1</v>
      </c>
    </row>
    <row r="122">
      <c r="A122" s="7" t="s">
        <v>3713</v>
      </c>
      <c r="B122" s="7" t="s">
        <v>2556</v>
      </c>
      <c r="C122" s="7" t="s">
        <v>2557</v>
      </c>
      <c r="D122" s="7" t="s">
        <v>2558</v>
      </c>
      <c r="E122" s="7" t="s">
        <v>3714</v>
      </c>
      <c r="F122" s="7" t="s">
        <v>3715</v>
      </c>
      <c r="G122" s="7" t="s">
        <v>3716</v>
      </c>
      <c r="H122" s="7" t="s">
        <v>1760</v>
      </c>
      <c r="I122" s="7" t="s">
        <v>3558</v>
      </c>
      <c r="J122" s="7" t="s">
        <v>3559</v>
      </c>
      <c r="K122" s="28">
        <v>46222.0</v>
      </c>
      <c r="L122" s="7" t="b">
        <v>1</v>
      </c>
    </row>
    <row r="123">
      <c r="A123" s="7" t="s">
        <v>3717</v>
      </c>
      <c r="B123" s="7" t="s">
        <v>2561</v>
      </c>
      <c r="C123" s="7" t="s">
        <v>2562</v>
      </c>
      <c r="D123" s="7" t="s">
        <v>2558</v>
      </c>
      <c r="E123" s="7" t="s">
        <v>3714</v>
      </c>
      <c r="F123" s="7" t="s">
        <v>3715</v>
      </c>
      <c r="G123" s="7" t="s">
        <v>3716</v>
      </c>
      <c r="H123" s="7" t="s">
        <v>2564</v>
      </c>
      <c r="I123" s="7" t="s">
        <v>3558</v>
      </c>
      <c r="J123" s="7" t="s">
        <v>3559</v>
      </c>
      <c r="K123" s="28">
        <v>46222.0</v>
      </c>
      <c r="L123" s="7" t="b">
        <v>1</v>
      </c>
    </row>
    <row r="124">
      <c r="A124" s="7" t="s">
        <v>3718</v>
      </c>
      <c r="B124" s="7" t="s">
        <v>2566</v>
      </c>
      <c r="C124" s="7" t="s">
        <v>2567</v>
      </c>
      <c r="D124" s="7" t="s">
        <v>2558</v>
      </c>
      <c r="E124" s="7" t="s">
        <v>3714</v>
      </c>
      <c r="F124" s="7" t="s">
        <v>3715</v>
      </c>
      <c r="G124" s="7" t="s">
        <v>3716</v>
      </c>
      <c r="H124" s="7">
        <v>8.2</v>
      </c>
      <c r="I124" s="7" t="s">
        <v>3558</v>
      </c>
      <c r="J124" s="7" t="s">
        <v>3559</v>
      </c>
      <c r="K124" s="28">
        <v>46222.0</v>
      </c>
      <c r="L124" s="7" t="b">
        <v>1</v>
      </c>
    </row>
    <row r="125">
      <c r="A125" s="7" t="s">
        <v>3719</v>
      </c>
      <c r="B125" s="7" t="s">
        <v>2569</v>
      </c>
      <c r="C125" s="7" t="s">
        <v>2570</v>
      </c>
      <c r="D125" s="7" t="s">
        <v>2558</v>
      </c>
      <c r="E125" s="7" t="s">
        <v>3714</v>
      </c>
      <c r="F125" s="7" t="s">
        <v>3715</v>
      </c>
      <c r="G125" s="7" t="s">
        <v>3716</v>
      </c>
      <c r="H125" s="7" t="s">
        <v>2381</v>
      </c>
      <c r="I125" s="7" t="s">
        <v>3558</v>
      </c>
      <c r="J125" s="7" t="s">
        <v>3559</v>
      </c>
      <c r="K125" s="28">
        <v>46222.0</v>
      </c>
      <c r="L125" s="7" t="b">
        <v>1</v>
      </c>
    </row>
    <row r="126">
      <c r="A126" s="7" t="s">
        <v>3720</v>
      </c>
      <c r="B126" s="7" t="s">
        <v>2573</v>
      </c>
      <c r="C126" s="7" t="s">
        <v>2574</v>
      </c>
      <c r="D126" s="7" t="s">
        <v>2558</v>
      </c>
      <c r="E126" s="7" t="s">
        <v>3714</v>
      </c>
      <c r="F126" s="7" t="s">
        <v>3715</v>
      </c>
      <c r="G126" s="7" t="s">
        <v>3716</v>
      </c>
      <c r="H126" s="7" t="s">
        <v>1760</v>
      </c>
      <c r="I126" s="7" t="s">
        <v>3558</v>
      </c>
      <c r="J126" s="7" t="s">
        <v>3559</v>
      </c>
      <c r="K126" s="28">
        <v>46222.0</v>
      </c>
      <c r="L126" s="7" t="b">
        <v>1</v>
      </c>
    </row>
    <row r="127">
      <c r="A127" s="7" t="s">
        <v>3721</v>
      </c>
      <c r="B127" s="7" t="s">
        <v>2577</v>
      </c>
      <c r="C127" s="7" t="s">
        <v>2578</v>
      </c>
      <c r="D127" s="7" t="s">
        <v>2558</v>
      </c>
      <c r="E127" s="7" t="s">
        <v>3714</v>
      </c>
      <c r="F127" s="7" t="s">
        <v>3715</v>
      </c>
      <c r="G127" s="7" t="s">
        <v>3716</v>
      </c>
      <c r="H127" s="7" t="s">
        <v>2580</v>
      </c>
      <c r="I127" s="7" t="s">
        <v>3558</v>
      </c>
      <c r="J127" s="7" t="s">
        <v>3559</v>
      </c>
      <c r="K127" s="28">
        <v>46222.0</v>
      </c>
      <c r="L127" s="7" t="b">
        <v>1</v>
      </c>
    </row>
    <row r="128">
      <c r="A128" s="7" t="s">
        <v>3722</v>
      </c>
      <c r="B128" s="7" t="s">
        <v>2581</v>
      </c>
      <c r="C128" s="7" t="s">
        <v>2582</v>
      </c>
      <c r="D128" s="7" t="s">
        <v>2558</v>
      </c>
      <c r="E128" s="7" t="s">
        <v>3714</v>
      </c>
      <c r="F128" s="7" t="s">
        <v>3715</v>
      </c>
      <c r="G128" s="7" t="s">
        <v>3716</v>
      </c>
      <c r="H128" s="7" t="s">
        <v>2584</v>
      </c>
      <c r="I128" s="7" t="s">
        <v>3558</v>
      </c>
      <c r="J128" s="7" t="s">
        <v>3559</v>
      </c>
      <c r="K128" s="28">
        <v>46222.0</v>
      </c>
      <c r="L128" s="7" t="b">
        <v>1</v>
      </c>
    </row>
    <row r="129">
      <c r="A129" s="7" t="s">
        <v>3723</v>
      </c>
      <c r="B129" s="7" t="s">
        <v>2586</v>
      </c>
      <c r="C129" s="7" t="s">
        <v>2587</v>
      </c>
      <c r="D129" s="7" t="s">
        <v>2558</v>
      </c>
      <c r="E129" s="7" t="s">
        <v>3714</v>
      </c>
      <c r="F129" s="7" t="s">
        <v>3715</v>
      </c>
      <c r="G129" s="7" t="s">
        <v>3716</v>
      </c>
      <c r="H129" s="7" t="s">
        <v>2589</v>
      </c>
      <c r="I129" s="7" t="s">
        <v>3558</v>
      </c>
      <c r="J129" s="7" t="s">
        <v>3559</v>
      </c>
      <c r="K129" s="28">
        <v>46222.0</v>
      </c>
      <c r="L129" s="7" t="b">
        <v>1</v>
      </c>
    </row>
    <row r="130">
      <c r="A130" s="7" t="s">
        <v>3724</v>
      </c>
      <c r="B130" s="7" t="s">
        <v>2591</v>
      </c>
      <c r="C130" s="7" t="s">
        <v>2592</v>
      </c>
      <c r="D130" s="7" t="s">
        <v>2558</v>
      </c>
      <c r="E130" s="7" t="s">
        <v>3714</v>
      </c>
      <c r="F130" s="7" t="s">
        <v>3715</v>
      </c>
      <c r="G130" s="7" t="s">
        <v>3716</v>
      </c>
      <c r="H130" s="7" t="s">
        <v>2528</v>
      </c>
      <c r="I130" s="7" t="s">
        <v>3558</v>
      </c>
      <c r="J130" s="7" t="s">
        <v>3559</v>
      </c>
      <c r="K130" s="28">
        <v>46222.0</v>
      </c>
      <c r="L130" s="7" t="b">
        <v>1</v>
      </c>
    </row>
    <row r="131">
      <c r="A131" s="7" t="s">
        <v>3725</v>
      </c>
      <c r="B131" s="7" t="s">
        <v>2595</v>
      </c>
      <c r="C131" s="7" t="s">
        <v>2596</v>
      </c>
      <c r="D131" s="7" t="s">
        <v>2558</v>
      </c>
      <c r="E131" s="7" t="s">
        <v>3714</v>
      </c>
      <c r="F131" s="7" t="s">
        <v>3715</v>
      </c>
      <c r="G131" s="7" t="s">
        <v>3716</v>
      </c>
      <c r="H131" s="7" t="s">
        <v>1770</v>
      </c>
      <c r="I131" s="7" t="s">
        <v>3558</v>
      </c>
      <c r="J131" s="7" t="s">
        <v>3559</v>
      </c>
      <c r="K131" s="28">
        <v>46222.0</v>
      </c>
      <c r="L131" s="7" t="b">
        <v>1</v>
      </c>
    </row>
    <row r="132">
      <c r="A132" s="7" t="s">
        <v>3726</v>
      </c>
      <c r="B132" s="7" t="s">
        <v>2599</v>
      </c>
      <c r="C132" s="7" t="s">
        <v>2600</v>
      </c>
      <c r="D132" s="7" t="s">
        <v>2558</v>
      </c>
      <c r="E132" s="7" t="s">
        <v>3714</v>
      </c>
      <c r="F132" s="7" t="s">
        <v>3715</v>
      </c>
      <c r="G132" s="7" t="s">
        <v>3716</v>
      </c>
      <c r="H132" s="7" t="s">
        <v>2044</v>
      </c>
      <c r="I132" s="7" t="s">
        <v>3558</v>
      </c>
      <c r="J132" s="7" t="s">
        <v>3559</v>
      </c>
      <c r="K132" s="28">
        <v>46222.0</v>
      </c>
      <c r="L132" s="7" t="b">
        <v>1</v>
      </c>
    </row>
    <row r="133">
      <c r="A133" s="7" t="s">
        <v>3727</v>
      </c>
      <c r="B133" s="7" t="s">
        <v>2602</v>
      </c>
      <c r="C133" s="7" t="s">
        <v>2603</v>
      </c>
      <c r="D133" s="7" t="s">
        <v>2558</v>
      </c>
      <c r="E133" s="7" t="s">
        <v>3714</v>
      </c>
      <c r="F133" s="7" t="s">
        <v>3715</v>
      </c>
      <c r="G133" s="7" t="s">
        <v>3716</v>
      </c>
      <c r="H133" s="7" t="s">
        <v>1765</v>
      </c>
      <c r="I133" s="7" t="s">
        <v>3558</v>
      </c>
      <c r="J133" s="7" t="s">
        <v>3559</v>
      </c>
      <c r="K133" s="28">
        <v>46222.0</v>
      </c>
      <c r="L133" s="7" t="b">
        <v>1</v>
      </c>
    </row>
    <row r="134">
      <c r="A134" s="7" t="s">
        <v>3728</v>
      </c>
      <c r="B134" s="7" t="s">
        <v>2606</v>
      </c>
      <c r="C134" s="7" t="s">
        <v>2607</v>
      </c>
      <c r="D134" s="7" t="s">
        <v>2608</v>
      </c>
      <c r="E134" s="7" t="s">
        <v>3729</v>
      </c>
      <c r="F134" s="7" t="s">
        <v>3730</v>
      </c>
      <c r="G134" s="7" t="s">
        <v>3731</v>
      </c>
      <c r="H134" s="7" t="s">
        <v>2610</v>
      </c>
      <c r="I134" s="7" t="s">
        <v>3558</v>
      </c>
      <c r="J134" s="7" t="s">
        <v>3559</v>
      </c>
      <c r="K134" s="28">
        <v>46222.0</v>
      </c>
      <c r="L134" s="7" t="b">
        <v>1</v>
      </c>
    </row>
    <row r="135">
      <c r="A135" s="7" t="s">
        <v>3732</v>
      </c>
      <c r="B135" s="7" t="s">
        <v>2612</v>
      </c>
      <c r="C135" s="7" t="s">
        <v>2613</v>
      </c>
      <c r="D135" s="7" t="s">
        <v>2608</v>
      </c>
      <c r="E135" s="7" t="s">
        <v>3729</v>
      </c>
      <c r="F135" s="7" t="s">
        <v>3730</v>
      </c>
      <c r="G135" s="7" t="s">
        <v>3731</v>
      </c>
      <c r="H135" s="7" t="s">
        <v>2615</v>
      </c>
      <c r="I135" s="7" t="s">
        <v>3558</v>
      </c>
      <c r="J135" s="7" t="s">
        <v>3559</v>
      </c>
      <c r="K135" s="28">
        <v>46222.0</v>
      </c>
      <c r="L135" s="7" t="b">
        <v>1</v>
      </c>
    </row>
    <row r="136">
      <c r="A136" s="7" t="s">
        <v>3733</v>
      </c>
      <c r="B136" s="7" t="s">
        <v>2617</v>
      </c>
      <c r="C136" s="7" t="s">
        <v>2618</v>
      </c>
      <c r="D136" s="7" t="s">
        <v>2608</v>
      </c>
      <c r="E136" s="7" t="s">
        <v>3729</v>
      </c>
      <c r="F136" s="7" t="s">
        <v>3730</v>
      </c>
      <c r="G136" s="7" t="s">
        <v>3731</v>
      </c>
      <c r="H136" s="7">
        <v>8.6</v>
      </c>
      <c r="I136" s="7" t="s">
        <v>3558</v>
      </c>
      <c r="J136" s="7" t="s">
        <v>3559</v>
      </c>
      <c r="K136" s="28">
        <v>46222.0</v>
      </c>
      <c r="L136" s="7" t="b">
        <v>1</v>
      </c>
    </row>
    <row r="137">
      <c r="A137" s="7" t="s">
        <v>3734</v>
      </c>
      <c r="B137" s="7" t="s">
        <v>2621</v>
      </c>
      <c r="C137" s="7" t="s">
        <v>2622</v>
      </c>
      <c r="D137" s="7" t="s">
        <v>2608</v>
      </c>
      <c r="E137" s="7" t="s">
        <v>3729</v>
      </c>
      <c r="F137" s="7" t="s">
        <v>3730</v>
      </c>
      <c r="G137" s="7" t="s">
        <v>3731</v>
      </c>
      <c r="H137" s="7" t="s">
        <v>2610</v>
      </c>
      <c r="I137" s="7" t="s">
        <v>3558</v>
      </c>
      <c r="J137" s="7" t="s">
        <v>3559</v>
      </c>
      <c r="K137" s="28">
        <v>46222.0</v>
      </c>
      <c r="L137" s="7" t="b">
        <v>1</v>
      </c>
    </row>
    <row r="138">
      <c r="A138" s="7" t="s">
        <v>3735</v>
      </c>
      <c r="B138" s="7" t="s">
        <v>2625</v>
      </c>
      <c r="C138" s="7" t="s">
        <v>2626</v>
      </c>
      <c r="D138" s="7" t="s">
        <v>2608</v>
      </c>
      <c r="E138" s="7" t="s">
        <v>3729</v>
      </c>
      <c r="F138" s="7" t="s">
        <v>3730</v>
      </c>
      <c r="G138" s="7" t="s">
        <v>3731</v>
      </c>
      <c r="H138" s="7" t="s">
        <v>2628</v>
      </c>
      <c r="I138" s="7" t="s">
        <v>3558</v>
      </c>
      <c r="J138" s="7" t="s">
        <v>3559</v>
      </c>
      <c r="K138" s="28">
        <v>46222.0</v>
      </c>
      <c r="L138" s="7" t="b">
        <v>1</v>
      </c>
    </row>
    <row r="139">
      <c r="A139" s="7" t="s">
        <v>3736</v>
      </c>
      <c r="B139" s="7" t="s">
        <v>2630</v>
      </c>
      <c r="C139" s="7" t="s">
        <v>2631</v>
      </c>
      <c r="D139" s="7" t="s">
        <v>2608</v>
      </c>
      <c r="E139" s="7" t="s">
        <v>3729</v>
      </c>
      <c r="F139" s="7" t="s">
        <v>3730</v>
      </c>
      <c r="G139" s="7" t="s">
        <v>3731</v>
      </c>
      <c r="H139" s="7" t="s">
        <v>1770</v>
      </c>
      <c r="I139" s="7" t="s">
        <v>3558</v>
      </c>
      <c r="J139" s="7" t="s">
        <v>3559</v>
      </c>
      <c r="K139" s="28">
        <v>46222.0</v>
      </c>
      <c r="L139" s="7" t="b">
        <v>1</v>
      </c>
    </row>
    <row r="140">
      <c r="A140" s="7" t="s">
        <v>3737</v>
      </c>
      <c r="B140" s="7" t="s">
        <v>2633</v>
      </c>
      <c r="C140" s="7" t="s">
        <v>2634</v>
      </c>
      <c r="D140" s="7" t="s">
        <v>2608</v>
      </c>
      <c r="E140" s="7" t="s">
        <v>3729</v>
      </c>
      <c r="F140" s="7" t="s">
        <v>3730</v>
      </c>
      <c r="G140" s="7" t="s">
        <v>3731</v>
      </c>
      <c r="H140" s="7" t="s">
        <v>2528</v>
      </c>
      <c r="I140" s="7" t="s">
        <v>3558</v>
      </c>
      <c r="J140" s="7" t="s">
        <v>3559</v>
      </c>
      <c r="K140" s="28">
        <v>46222.0</v>
      </c>
      <c r="L140" s="7" t="b">
        <v>1</v>
      </c>
    </row>
    <row r="141">
      <c r="A141" s="7" t="s">
        <v>3738</v>
      </c>
      <c r="B141" s="7" t="s">
        <v>2637</v>
      </c>
      <c r="C141" s="7" t="s">
        <v>2638</v>
      </c>
      <c r="D141" s="7" t="s">
        <v>2608</v>
      </c>
      <c r="E141" s="7" t="s">
        <v>3729</v>
      </c>
      <c r="F141" s="7" t="s">
        <v>3730</v>
      </c>
      <c r="G141" s="7" t="s">
        <v>3731</v>
      </c>
      <c r="H141" s="7">
        <v>8.6</v>
      </c>
      <c r="I141" s="7" t="s">
        <v>3558</v>
      </c>
      <c r="J141" s="7" t="s">
        <v>3559</v>
      </c>
      <c r="K141" s="28">
        <v>46222.0</v>
      </c>
      <c r="L141" s="7" t="b">
        <v>1</v>
      </c>
    </row>
    <row r="142">
      <c r="A142" s="7" t="s">
        <v>3739</v>
      </c>
      <c r="B142" s="7" t="s">
        <v>2641</v>
      </c>
      <c r="C142" s="7" t="s">
        <v>2642</v>
      </c>
      <c r="D142" s="7" t="s">
        <v>2608</v>
      </c>
      <c r="E142" s="7" t="s">
        <v>3729</v>
      </c>
      <c r="F142" s="7" t="s">
        <v>3730</v>
      </c>
      <c r="G142" s="7" t="s">
        <v>3731</v>
      </c>
      <c r="H142" s="7" t="s">
        <v>2464</v>
      </c>
      <c r="I142" s="7" t="s">
        <v>3558</v>
      </c>
      <c r="J142" s="7" t="s">
        <v>3559</v>
      </c>
      <c r="K142" s="28">
        <v>46222.0</v>
      </c>
      <c r="L142" s="7" t="b">
        <v>1</v>
      </c>
    </row>
    <row r="143">
      <c r="A143" s="7" t="s">
        <v>3740</v>
      </c>
      <c r="B143" s="7" t="s">
        <v>2645</v>
      </c>
      <c r="C143" s="7" t="s">
        <v>2646</v>
      </c>
      <c r="D143" s="7" t="s">
        <v>2608</v>
      </c>
      <c r="E143" s="7" t="s">
        <v>3729</v>
      </c>
      <c r="F143" s="7" t="s">
        <v>3730</v>
      </c>
      <c r="G143" s="7" t="s">
        <v>3731</v>
      </c>
      <c r="H143" s="7" t="s">
        <v>2044</v>
      </c>
      <c r="I143" s="7" t="s">
        <v>3558</v>
      </c>
      <c r="J143" s="7" t="s">
        <v>3559</v>
      </c>
      <c r="K143" s="28">
        <v>46222.0</v>
      </c>
      <c r="L143" s="7" t="b">
        <v>1</v>
      </c>
    </row>
    <row r="144">
      <c r="A144" s="7" t="s">
        <v>3741</v>
      </c>
      <c r="B144" s="7" t="s">
        <v>2649</v>
      </c>
      <c r="C144" s="7" t="s">
        <v>2650</v>
      </c>
      <c r="D144" s="7" t="s">
        <v>2608</v>
      </c>
      <c r="E144" s="7" t="s">
        <v>3729</v>
      </c>
      <c r="F144" s="7" t="s">
        <v>3730</v>
      </c>
      <c r="G144" s="7" t="s">
        <v>3731</v>
      </c>
      <c r="H144" s="7" t="s">
        <v>2652</v>
      </c>
      <c r="I144" s="7" t="s">
        <v>3558</v>
      </c>
      <c r="J144" s="7" t="s">
        <v>3559</v>
      </c>
      <c r="K144" s="28">
        <v>46222.0</v>
      </c>
      <c r="L144" s="7" t="b">
        <v>1</v>
      </c>
    </row>
    <row r="145">
      <c r="A145" s="7" t="s">
        <v>3742</v>
      </c>
      <c r="B145" s="7" t="s">
        <v>2654</v>
      </c>
      <c r="C145" s="7" t="s">
        <v>2655</v>
      </c>
      <c r="D145" s="7" t="s">
        <v>2608</v>
      </c>
      <c r="E145" s="7" t="s">
        <v>3729</v>
      </c>
      <c r="F145" s="7" t="s">
        <v>3730</v>
      </c>
      <c r="G145" s="7" t="s">
        <v>3731</v>
      </c>
      <c r="H145" s="7">
        <v>8.6</v>
      </c>
      <c r="I145" s="7" t="s">
        <v>3558</v>
      </c>
      <c r="J145" s="7" t="s">
        <v>3559</v>
      </c>
      <c r="K145" s="28">
        <v>46222.0</v>
      </c>
      <c r="L145" s="7" t="b">
        <v>1</v>
      </c>
    </row>
    <row r="146">
      <c r="A146" s="7" t="s">
        <v>3743</v>
      </c>
      <c r="B146" s="7" t="s">
        <v>2658</v>
      </c>
      <c r="C146" s="7" t="s">
        <v>2659</v>
      </c>
      <c r="D146" s="7" t="s">
        <v>2660</v>
      </c>
      <c r="E146" s="7" t="s">
        <v>3744</v>
      </c>
      <c r="F146" s="7" t="s">
        <v>3745</v>
      </c>
      <c r="G146" s="7" t="s">
        <v>3746</v>
      </c>
      <c r="H146" s="7" t="s">
        <v>1659</v>
      </c>
      <c r="I146" s="7" t="s">
        <v>3558</v>
      </c>
      <c r="J146" s="7" t="s">
        <v>3559</v>
      </c>
      <c r="K146" s="28">
        <v>46222.0</v>
      </c>
      <c r="L146" s="7" t="b">
        <v>1</v>
      </c>
    </row>
    <row r="147">
      <c r="A147" s="7" t="s">
        <v>3747</v>
      </c>
      <c r="B147" s="7" t="s">
        <v>2663</v>
      </c>
      <c r="C147" s="7" t="s">
        <v>2664</v>
      </c>
      <c r="D147" s="7" t="s">
        <v>2660</v>
      </c>
      <c r="E147" s="7" t="s">
        <v>3744</v>
      </c>
      <c r="F147" s="7" t="s">
        <v>3745</v>
      </c>
      <c r="G147" s="7" t="s">
        <v>3746</v>
      </c>
      <c r="H147" s="7">
        <v>8.3</v>
      </c>
      <c r="I147" s="7" t="s">
        <v>3558</v>
      </c>
      <c r="J147" s="7" t="s">
        <v>3559</v>
      </c>
      <c r="K147" s="28">
        <v>46222.0</v>
      </c>
      <c r="L147" s="7" t="b">
        <v>1</v>
      </c>
    </row>
    <row r="148">
      <c r="A148" s="7" t="s">
        <v>3748</v>
      </c>
      <c r="B148" s="7" t="s">
        <v>2667</v>
      </c>
      <c r="C148" s="7" t="s">
        <v>2668</v>
      </c>
      <c r="D148" s="7" t="s">
        <v>2660</v>
      </c>
      <c r="E148" s="7" t="s">
        <v>3744</v>
      </c>
      <c r="F148" s="7" t="s">
        <v>3745</v>
      </c>
      <c r="G148" s="7" t="s">
        <v>3746</v>
      </c>
      <c r="H148" s="7" t="s">
        <v>2670</v>
      </c>
      <c r="I148" s="7" t="s">
        <v>3558</v>
      </c>
      <c r="J148" s="7" t="s">
        <v>3559</v>
      </c>
      <c r="K148" s="28">
        <v>46222.0</v>
      </c>
      <c r="L148" s="7" t="b">
        <v>1</v>
      </c>
    </row>
    <row r="149">
      <c r="A149" s="7" t="s">
        <v>3749</v>
      </c>
      <c r="B149" s="7" t="s">
        <v>2672</v>
      </c>
      <c r="C149" s="7" t="s">
        <v>2673</v>
      </c>
      <c r="D149" s="7" t="s">
        <v>2660</v>
      </c>
      <c r="E149" s="7" t="s">
        <v>3744</v>
      </c>
      <c r="F149" s="7" t="s">
        <v>3745</v>
      </c>
      <c r="G149" s="7" t="s">
        <v>3746</v>
      </c>
      <c r="H149" s="7" t="s">
        <v>2675</v>
      </c>
      <c r="I149" s="7" t="s">
        <v>3558</v>
      </c>
      <c r="J149" s="7" t="s">
        <v>3559</v>
      </c>
      <c r="K149" s="28">
        <v>46222.0</v>
      </c>
      <c r="L149" s="7" t="b">
        <v>1</v>
      </c>
    </row>
    <row r="150">
      <c r="A150" s="7" t="s">
        <v>3750</v>
      </c>
      <c r="B150" s="7" t="s">
        <v>2676</v>
      </c>
      <c r="C150" s="7" t="s">
        <v>2677</v>
      </c>
      <c r="D150" s="7" t="s">
        <v>2660</v>
      </c>
      <c r="E150" s="7" t="s">
        <v>3744</v>
      </c>
      <c r="F150" s="7" t="s">
        <v>3745</v>
      </c>
      <c r="G150" s="7" t="s">
        <v>3746</v>
      </c>
      <c r="H150" s="7" t="s">
        <v>1701</v>
      </c>
      <c r="I150" s="7" t="s">
        <v>3558</v>
      </c>
      <c r="J150" s="7" t="s">
        <v>3559</v>
      </c>
      <c r="K150" s="28">
        <v>46222.0</v>
      </c>
      <c r="L150" s="7" t="b">
        <v>1</v>
      </c>
    </row>
    <row r="151">
      <c r="A151" s="7" t="s">
        <v>3751</v>
      </c>
      <c r="B151" s="7" t="s">
        <v>2680</v>
      </c>
      <c r="C151" s="7" t="s">
        <v>2681</v>
      </c>
      <c r="D151" s="7" t="s">
        <v>2660</v>
      </c>
      <c r="E151" s="7" t="s">
        <v>3744</v>
      </c>
      <c r="F151" s="7" t="s">
        <v>3745</v>
      </c>
      <c r="G151" s="7" t="s">
        <v>3746</v>
      </c>
      <c r="H151" s="7" t="s">
        <v>2683</v>
      </c>
      <c r="I151" s="7" t="s">
        <v>3558</v>
      </c>
      <c r="J151" s="7" t="s">
        <v>3559</v>
      </c>
      <c r="K151" s="28">
        <v>46222.0</v>
      </c>
      <c r="L151" s="7" t="b">
        <v>1</v>
      </c>
    </row>
    <row r="152">
      <c r="A152" s="7" t="s">
        <v>3752</v>
      </c>
      <c r="B152" s="7" t="s">
        <v>2685</v>
      </c>
      <c r="C152" s="7" t="s">
        <v>2686</v>
      </c>
      <c r="D152" s="7" t="s">
        <v>2660</v>
      </c>
      <c r="E152" s="7" t="s">
        <v>3744</v>
      </c>
      <c r="F152" s="7" t="s">
        <v>3745</v>
      </c>
      <c r="G152" s="7" t="s">
        <v>3746</v>
      </c>
      <c r="H152" s="7" t="s">
        <v>2051</v>
      </c>
      <c r="I152" s="7" t="s">
        <v>3558</v>
      </c>
      <c r="J152" s="7" t="s">
        <v>3559</v>
      </c>
      <c r="K152" s="28">
        <v>46222.0</v>
      </c>
      <c r="L152" s="7" t="b">
        <v>1</v>
      </c>
    </row>
    <row r="153">
      <c r="A153" s="7" t="s">
        <v>3753</v>
      </c>
      <c r="B153" s="7" t="s">
        <v>2689</v>
      </c>
      <c r="C153" s="7" t="s">
        <v>2690</v>
      </c>
      <c r="D153" s="7" t="s">
        <v>2660</v>
      </c>
      <c r="E153" s="7" t="s">
        <v>3744</v>
      </c>
      <c r="F153" s="7" t="s">
        <v>3745</v>
      </c>
      <c r="G153" s="7" t="s">
        <v>3746</v>
      </c>
      <c r="H153" s="7" t="s">
        <v>2528</v>
      </c>
      <c r="I153" s="7" t="s">
        <v>3558</v>
      </c>
      <c r="J153" s="7" t="s">
        <v>3559</v>
      </c>
      <c r="K153" s="28">
        <v>46222.0</v>
      </c>
      <c r="L153" s="7" t="b">
        <v>1</v>
      </c>
    </row>
    <row r="154">
      <c r="A154" s="7" t="s">
        <v>3754</v>
      </c>
      <c r="B154" s="7" t="s">
        <v>2693</v>
      </c>
      <c r="C154" s="7" t="s">
        <v>2694</v>
      </c>
      <c r="D154" s="7" t="s">
        <v>2660</v>
      </c>
      <c r="E154" s="7" t="s">
        <v>3744</v>
      </c>
      <c r="F154" s="7" t="s">
        <v>3745</v>
      </c>
      <c r="G154" s="7" t="s">
        <v>3746</v>
      </c>
      <c r="H154" s="7" t="s">
        <v>2537</v>
      </c>
      <c r="I154" s="7" t="s">
        <v>3558</v>
      </c>
      <c r="J154" s="7" t="s">
        <v>3559</v>
      </c>
      <c r="K154" s="28">
        <v>46222.0</v>
      </c>
      <c r="L154" s="7" t="b">
        <v>1</v>
      </c>
    </row>
    <row r="155">
      <c r="A155" s="7" t="s">
        <v>3755</v>
      </c>
      <c r="B155" s="7" t="s">
        <v>2697</v>
      </c>
      <c r="C155" s="7" t="s">
        <v>2698</v>
      </c>
      <c r="D155" s="7" t="s">
        <v>2660</v>
      </c>
      <c r="E155" s="7" t="s">
        <v>3744</v>
      </c>
      <c r="F155" s="7" t="s">
        <v>3745</v>
      </c>
      <c r="G155" s="7" t="s">
        <v>3746</v>
      </c>
      <c r="H155" s="7" t="s">
        <v>1760</v>
      </c>
      <c r="I155" s="7" t="s">
        <v>3558</v>
      </c>
      <c r="J155" s="7" t="s">
        <v>3559</v>
      </c>
      <c r="K155" s="28">
        <v>46222.0</v>
      </c>
      <c r="L155" s="7" t="b">
        <v>1</v>
      </c>
    </row>
    <row r="156">
      <c r="A156" s="7" t="s">
        <v>3756</v>
      </c>
      <c r="B156" s="7" t="s">
        <v>2701</v>
      </c>
      <c r="C156" s="7" t="s">
        <v>2702</v>
      </c>
      <c r="D156" s="7" t="s">
        <v>2660</v>
      </c>
      <c r="E156" s="7" t="s">
        <v>3744</v>
      </c>
      <c r="F156" s="7" t="s">
        <v>3745</v>
      </c>
      <c r="G156" s="7" t="s">
        <v>3746</v>
      </c>
      <c r="H156" s="7" t="s">
        <v>2704</v>
      </c>
      <c r="I156" s="7" t="s">
        <v>3558</v>
      </c>
      <c r="J156" s="7" t="s">
        <v>3559</v>
      </c>
      <c r="K156" s="28">
        <v>46222.0</v>
      </c>
      <c r="L156" s="7" t="b">
        <v>1</v>
      </c>
    </row>
    <row r="157">
      <c r="A157" s="7" t="s">
        <v>3757</v>
      </c>
      <c r="B157" s="7" t="s">
        <v>2706</v>
      </c>
      <c r="C157" s="7" t="s">
        <v>2707</v>
      </c>
      <c r="D157" s="7" t="s">
        <v>2660</v>
      </c>
      <c r="E157" s="7" t="s">
        <v>3744</v>
      </c>
      <c r="F157" s="7" t="s">
        <v>3745</v>
      </c>
      <c r="G157" s="7" t="s">
        <v>3746</v>
      </c>
      <c r="H157" s="7" t="s">
        <v>2554</v>
      </c>
      <c r="I157" s="7" t="s">
        <v>3558</v>
      </c>
      <c r="J157" s="7" t="s">
        <v>3559</v>
      </c>
      <c r="K157" s="28">
        <v>46222.0</v>
      </c>
      <c r="L157" s="7" t="b">
        <v>1</v>
      </c>
    </row>
    <row r="158">
      <c r="A158" s="7" t="s">
        <v>3758</v>
      </c>
      <c r="B158" s="7" t="s">
        <v>2710</v>
      </c>
      <c r="C158" s="7" t="s">
        <v>2711</v>
      </c>
      <c r="D158" s="7" t="s">
        <v>2660</v>
      </c>
      <c r="E158" s="7" t="s">
        <v>3744</v>
      </c>
      <c r="F158" s="7" t="s">
        <v>3745</v>
      </c>
      <c r="G158" s="7" t="s">
        <v>3746</v>
      </c>
      <c r="H158" s="7">
        <v>8.4</v>
      </c>
      <c r="I158" s="7" t="s">
        <v>3558</v>
      </c>
      <c r="J158" s="7" t="s">
        <v>3559</v>
      </c>
      <c r="K158" s="28">
        <v>46222.0</v>
      </c>
      <c r="L158" s="7" t="b">
        <v>1</v>
      </c>
    </row>
    <row r="159">
      <c r="A159" s="7" t="s">
        <v>3759</v>
      </c>
      <c r="B159" s="7" t="s">
        <v>2714</v>
      </c>
      <c r="C159" s="7" t="s">
        <v>2715</v>
      </c>
      <c r="D159" s="7" t="s">
        <v>2660</v>
      </c>
      <c r="E159" s="7" t="s">
        <v>3744</v>
      </c>
      <c r="F159" s="7" t="s">
        <v>3745</v>
      </c>
      <c r="G159" s="7" t="s">
        <v>3746</v>
      </c>
      <c r="H159" s="7" t="s">
        <v>2717</v>
      </c>
      <c r="I159" s="7" t="s">
        <v>3558</v>
      </c>
      <c r="J159" s="7" t="s">
        <v>3559</v>
      </c>
      <c r="K159" s="28">
        <v>46222.0</v>
      </c>
      <c r="L159" s="7" t="b">
        <v>1</v>
      </c>
    </row>
    <row r="160">
      <c r="A160" s="7" t="s">
        <v>3760</v>
      </c>
      <c r="B160" s="7" t="s">
        <v>2719</v>
      </c>
      <c r="C160" s="7" t="s">
        <v>2720</v>
      </c>
      <c r="D160" s="7" t="s">
        <v>2721</v>
      </c>
      <c r="E160" s="7" t="s">
        <v>3761</v>
      </c>
      <c r="F160" s="7" t="s">
        <v>3762</v>
      </c>
      <c r="G160" s="7" t="s">
        <v>3763</v>
      </c>
      <c r="H160" s="7" t="s">
        <v>2723</v>
      </c>
      <c r="I160" s="7" t="s">
        <v>3558</v>
      </c>
      <c r="J160" s="7" t="s">
        <v>3559</v>
      </c>
      <c r="K160" s="28">
        <v>46222.0</v>
      </c>
      <c r="L160" s="7" t="b">
        <v>1</v>
      </c>
    </row>
    <row r="161">
      <c r="A161" s="7" t="s">
        <v>3764</v>
      </c>
      <c r="B161" s="7" t="s">
        <v>2724</v>
      </c>
      <c r="C161" s="7" t="s">
        <v>2725</v>
      </c>
      <c r="D161" s="7" t="s">
        <v>2721</v>
      </c>
      <c r="E161" s="7" t="s">
        <v>3761</v>
      </c>
      <c r="F161" s="7" t="s">
        <v>3762</v>
      </c>
      <c r="G161" s="7" t="s">
        <v>3763</v>
      </c>
      <c r="H161" s="7">
        <v>8.4</v>
      </c>
      <c r="I161" s="7" t="s">
        <v>3558</v>
      </c>
      <c r="J161" s="7" t="s">
        <v>3559</v>
      </c>
      <c r="K161" s="28">
        <v>46222.0</v>
      </c>
      <c r="L161" s="7" t="b">
        <v>1</v>
      </c>
    </row>
    <row r="162">
      <c r="A162" s="7" t="s">
        <v>3765</v>
      </c>
      <c r="B162" s="7" t="s">
        <v>2728</v>
      </c>
      <c r="C162" s="7" t="s">
        <v>2729</v>
      </c>
      <c r="D162" s="7" t="s">
        <v>2721</v>
      </c>
      <c r="E162" s="7" t="s">
        <v>3761</v>
      </c>
      <c r="F162" s="7" t="s">
        <v>3762</v>
      </c>
      <c r="G162" s="7" t="s">
        <v>3763</v>
      </c>
      <c r="H162" s="7" t="s">
        <v>1727</v>
      </c>
      <c r="I162" s="7" t="s">
        <v>3558</v>
      </c>
      <c r="J162" s="7" t="s">
        <v>3559</v>
      </c>
      <c r="K162" s="28">
        <v>46222.0</v>
      </c>
      <c r="L162" s="7" t="b">
        <v>1</v>
      </c>
    </row>
    <row r="163">
      <c r="A163" s="7" t="s">
        <v>3766</v>
      </c>
      <c r="B163" s="7" t="s">
        <v>2732</v>
      </c>
      <c r="C163" s="7" t="s">
        <v>2733</v>
      </c>
      <c r="D163" s="7" t="s">
        <v>2721</v>
      </c>
      <c r="E163" s="7" t="s">
        <v>3761</v>
      </c>
      <c r="F163" s="7" t="s">
        <v>3762</v>
      </c>
      <c r="G163" s="7" t="s">
        <v>3763</v>
      </c>
      <c r="H163" s="7" t="s">
        <v>1722</v>
      </c>
      <c r="I163" s="7" t="s">
        <v>3558</v>
      </c>
      <c r="J163" s="7" t="s">
        <v>3559</v>
      </c>
      <c r="K163" s="28">
        <v>46222.0</v>
      </c>
      <c r="L163" s="7" t="b">
        <v>1</v>
      </c>
    </row>
    <row r="164">
      <c r="A164" s="7" t="s">
        <v>3767</v>
      </c>
      <c r="B164" s="7" t="s">
        <v>2736</v>
      </c>
      <c r="C164" s="7" t="s">
        <v>2737</v>
      </c>
      <c r="D164" s="7" t="s">
        <v>2721</v>
      </c>
      <c r="E164" s="7" t="s">
        <v>3761</v>
      </c>
      <c r="F164" s="7" t="s">
        <v>3762</v>
      </c>
      <c r="G164" s="7" t="s">
        <v>3763</v>
      </c>
      <c r="H164" s="7" t="s">
        <v>2528</v>
      </c>
      <c r="I164" s="7" t="s">
        <v>3558</v>
      </c>
      <c r="J164" s="7" t="s">
        <v>3559</v>
      </c>
      <c r="K164" s="28">
        <v>46222.0</v>
      </c>
      <c r="L164" s="7" t="b">
        <v>1</v>
      </c>
    </row>
    <row r="165">
      <c r="A165" s="7" t="s">
        <v>3768</v>
      </c>
      <c r="B165" s="7" t="s">
        <v>2740</v>
      </c>
      <c r="C165" s="7" t="s">
        <v>2741</v>
      </c>
      <c r="D165" s="7" t="s">
        <v>2721</v>
      </c>
      <c r="E165" s="7" t="s">
        <v>3761</v>
      </c>
      <c r="F165" s="7" t="s">
        <v>3762</v>
      </c>
      <c r="G165" s="7" t="s">
        <v>3763</v>
      </c>
      <c r="H165" s="7" t="s">
        <v>2743</v>
      </c>
      <c r="I165" s="7" t="s">
        <v>3558</v>
      </c>
      <c r="J165" s="7" t="s">
        <v>3559</v>
      </c>
      <c r="K165" s="28">
        <v>46222.0</v>
      </c>
      <c r="L165" s="7" t="b">
        <v>1</v>
      </c>
    </row>
    <row r="166">
      <c r="A166" s="7" t="s">
        <v>3769</v>
      </c>
      <c r="B166" s="7" t="s">
        <v>2745</v>
      </c>
      <c r="C166" s="7" t="s">
        <v>2746</v>
      </c>
      <c r="D166" s="7" t="s">
        <v>2721</v>
      </c>
      <c r="E166" s="7" t="s">
        <v>3761</v>
      </c>
      <c r="F166" s="7" t="s">
        <v>3762</v>
      </c>
      <c r="G166" s="7" t="s">
        <v>3763</v>
      </c>
      <c r="H166" s="7" t="s">
        <v>2748</v>
      </c>
      <c r="I166" s="7" t="s">
        <v>3558</v>
      </c>
      <c r="J166" s="7" t="s">
        <v>3559</v>
      </c>
      <c r="K166" s="28">
        <v>46222.0</v>
      </c>
      <c r="L166" s="7" t="b">
        <v>1</v>
      </c>
    </row>
    <row r="167">
      <c r="A167" s="7" t="s">
        <v>3770</v>
      </c>
      <c r="B167" s="7" t="s">
        <v>2750</v>
      </c>
      <c r="C167" s="7" t="s">
        <v>2751</v>
      </c>
      <c r="D167" s="7" t="s">
        <v>2721</v>
      </c>
      <c r="E167" s="7" t="s">
        <v>3761</v>
      </c>
      <c r="F167" s="7" t="s">
        <v>3762</v>
      </c>
      <c r="G167" s="7" t="s">
        <v>3763</v>
      </c>
      <c r="H167" s="7" t="s">
        <v>1770</v>
      </c>
      <c r="I167" s="7" t="s">
        <v>3558</v>
      </c>
      <c r="J167" s="7" t="s">
        <v>3559</v>
      </c>
      <c r="K167" s="28">
        <v>46222.0</v>
      </c>
      <c r="L167" s="7" t="b">
        <v>1</v>
      </c>
    </row>
    <row r="168">
      <c r="A168" s="7" t="s">
        <v>3771</v>
      </c>
      <c r="B168" s="7" t="s">
        <v>2754</v>
      </c>
      <c r="C168" s="7" t="s">
        <v>2755</v>
      </c>
      <c r="D168" s="7" t="s">
        <v>2721</v>
      </c>
      <c r="E168" s="7" t="s">
        <v>3761</v>
      </c>
      <c r="F168" s="7" t="s">
        <v>3762</v>
      </c>
      <c r="G168" s="7" t="s">
        <v>3763</v>
      </c>
      <c r="H168" s="7" t="s">
        <v>1765</v>
      </c>
      <c r="I168" s="7" t="s">
        <v>3558</v>
      </c>
      <c r="J168" s="7" t="s">
        <v>3559</v>
      </c>
      <c r="K168" s="28">
        <v>46222.0</v>
      </c>
      <c r="L168" s="7" t="b">
        <v>1</v>
      </c>
    </row>
    <row r="169">
      <c r="A169" s="7" t="s">
        <v>3772</v>
      </c>
      <c r="B169" s="7" t="s">
        <v>2758</v>
      </c>
      <c r="C169" s="7" t="s">
        <v>2759</v>
      </c>
      <c r="D169" s="7" t="s">
        <v>2721</v>
      </c>
      <c r="E169" s="7" t="s">
        <v>3761</v>
      </c>
      <c r="F169" s="7" t="s">
        <v>3762</v>
      </c>
      <c r="G169" s="7" t="s">
        <v>3763</v>
      </c>
      <c r="H169" s="7" t="s">
        <v>2761</v>
      </c>
      <c r="I169" s="7" t="s">
        <v>3558</v>
      </c>
      <c r="J169" s="7" t="s">
        <v>3559</v>
      </c>
      <c r="K169" s="28">
        <v>46222.0</v>
      </c>
      <c r="L169" s="7" t="b">
        <v>1</v>
      </c>
    </row>
    <row r="170">
      <c r="A170" s="7" t="s">
        <v>3773</v>
      </c>
      <c r="B170" s="7" t="s">
        <v>2763</v>
      </c>
      <c r="C170" s="7" t="s">
        <v>2764</v>
      </c>
      <c r="D170" s="7" t="s">
        <v>2765</v>
      </c>
      <c r="E170" s="7" t="s">
        <v>3774</v>
      </c>
      <c r="F170" s="7" t="s">
        <v>3775</v>
      </c>
      <c r="G170" s="7" t="s">
        <v>3776</v>
      </c>
      <c r="H170" s="7" t="s">
        <v>2174</v>
      </c>
      <c r="I170" s="7" t="s">
        <v>3558</v>
      </c>
      <c r="J170" s="7" t="s">
        <v>3559</v>
      </c>
      <c r="K170" s="28">
        <v>46222.0</v>
      </c>
      <c r="L170" s="7" t="b">
        <v>1</v>
      </c>
    </row>
    <row r="171">
      <c r="A171" s="7" t="s">
        <v>3777</v>
      </c>
      <c r="B171" s="7" t="s">
        <v>2768</v>
      </c>
      <c r="C171" s="7" t="s">
        <v>2769</v>
      </c>
      <c r="D171" s="7" t="s">
        <v>2765</v>
      </c>
      <c r="E171" s="7" t="s">
        <v>3774</v>
      </c>
      <c r="F171" s="7" t="s">
        <v>3775</v>
      </c>
      <c r="G171" s="7" t="s">
        <v>3776</v>
      </c>
      <c r="H171" s="7">
        <v>6.1</v>
      </c>
      <c r="I171" s="7" t="s">
        <v>3558</v>
      </c>
      <c r="J171" s="7" t="s">
        <v>3559</v>
      </c>
      <c r="K171" s="28">
        <v>46222.0</v>
      </c>
      <c r="L171" s="7" t="b">
        <v>1</v>
      </c>
    </row>
    <row r="172">
      <c r="A172" s="7" t="s">
        <v>3778</v>
      </c>
      <c r="B172" s="7" t="s">
        <v>2772</v>
      </c>
      <c r="C172" s="7" t="s">
        <v>2773</v>
      </c>
      <c r="D172" s="7" t="s">
        <v>2765</v>
      </c>
      <c r="E172" s="7" t="s">
        <v>3774</v>
      </c>
      <c r="F172" s="7" t="s">
        <v>3775</v>
      </c>
      <c r="G172" s="7" t="s">
        <v>3776</v>
      </c>
      <c r="H172" s="7" t="s">
        <v>1659</v>
      </c>
      <c r="I172" s="7" t="s">
        <v>3558</v>
      </c>
      <c r="J172" s="7" t="s">
        <v>3559</v>
      </c>
      <c r="K172" s="28">
        <v>46222.0</v>
      </c>
      <c r="L172" s="7" t="b">
        <v>1</v>
      </c>
    </row>
    <row r="173">
      <c r="A173" s="7" t="s">
        <v>3779</v>
      </c>
      <c r="B173" s="7" t="s">
        <v>2776</v>
      </c>
      <c r="C173" s="7" t="s">
        <v>2777</v>
      </c>
      <c r="D173" s="7" t="s">
        <v>2765</v>
      </c>
      <c r="E173" s="7" t="s">
        <v>3774</v>
      </c>
      <c r="F173" s="7" t="s">
        <v>3775</v>
      </c>
      <c r="G173" s="7" t="s">
        <v>3776</v>
      </c>
      <c r="H173" s="7" t="s">
        <v>2779</v>
      </c>
      <c r="I173" s="7" t="s">
        <v>3558</v>
      </c>
      <c r="J173" s="7" t="s">
        <v>3559</v>
      </c>
      <c r="K173" s="28">
        <v>46222.0</v>
      </c>
      <c r="L173" s="7" t="b">
        <v>1</v>
      </c>
    </row>
    <row r="174">
      <c r="A174" s="7" t="s">
        <v>3780</v>
      </c>
      <c r="B174" s="7" t="s">
        <v>2781</v>
      </c>
      <c r="C174" s="7" t="s">
        <v>2782</v>
      </c>
      <c r="D174" s="7" t="s">
        <v>2765</v>
      </c>
      <c r="E174" s="7" t="s">
        <v>3774</v>
      </c>
      <c r="F174" s="7" t="s">
        <v>3775</v>
      </c>
      <c r="G174" s="7" t="s">
        <v>3776</v>
      </c>
      <c r="H174" s="7">
        <v>7.2</v>
      </c>
      <c r="I174" s="7" t="s">
        <v>3558</v>
      </c>
      <c r="J174" s="7" t="s">
        <v>3559</v>
      </c>
      <c r="K174" s="28">
        <v>46222.0</v>
      </c>
      <c r="L174" s="7" t="b">
        <v>1</v>
      </c>
    </row>
    <row r="175">
      <c r="A175" s="7" t="s">
        <v>3781</v>
      </c>
      <c r="B175" s="7" t="s">
        <v>2785</v>
      </c>
      <c r="C175" s="7" t="s">
        <v>2786</v>
      </c>
      <c r="D175" s="7" t="s">
        <v>2765</v>
      </c>
      <c r="E175" s="7" t="s">
        <v>3774</v>
      </c>
      <c r="F175" s="7" t="s">
        <v>3775</v>
      </c>
      <c r="G175" s="7" t="s">
        <v>3776</v>
      </c>
      <c r="H175" s="7" t="s">
        <v>1659</v>
      </c>
      <c r="I175" s="7" t="s">
        <v>3558</v>
      </c>
      <c r="J175" s="7" t="s">
        <v>3559</v>
      </c>
      <c r="K175" s="28">
        <v>46222.0</v>
      </c>
      <c r="L175" s="7" t="b">
        <v>1</v>
      </c>
    </row>
    <row r="176">
      <c r="A176" s="7" t="s">
        <v>3782</v>
      </c>
      <c r="B176" s="7" t="s">
        <v>2789</v>
      </c>
      <c r="C176" s="7" t="s">
        <v>2790</v>
      </c>
      <c r="D176" s="7" t="s">
        <v>2765</v>
      </c>
      <c r="E176" s="7" t="s">
        <v>3774</v>
      </c>
      <c r="F176" s="7" t="s">
        <v>3775</v>
      </c>
      <c r="G176" s="7" t="s">
        <v>3776</v>
      </c>
      <c r="H176" s="7">
        <v>8.6</v>
      </c>
      <c r="I176" s="7" t="s">
        <v>3558</v>
      </c>
      <c r="J176" s="7" t="s">
        <v>3559</v>
      </c>
      <c r="K176" s="28">
        <v>46222.0</v>
      </c>
      <c r="L176" s="7" t="b">
        <v>1</v>
      </c>
    </row>
    <row r="177">
      <c r="A177" s="7" t="s">
        <v>3783</v>
      </c>
      <c r="B177" s="7" t="s">
        <v>2793</v>
      </c>
      <c r="C177" s="7" t="s">
        <v>2794</v>
      </c>
      <c r="D177" s="7" t="s">
        <v>2765</v>
      </c>
      <c r="E177" s="7" t="s">
        <v>3774</v>
      </c>
      <c r="F177" s="7" t="s">
        <v>3775</v>
      </c>
      <c r="G177" s="7" t="s">
        <v>3776</v>
      </c>
      <c r="H177" s="7" t="s">
        <v>1983</v>
      </c>
      <c r="I177" s="7" t="s">
        <v>3558</v>
      </c>
      <c r="J177" s="7" t="s">
        <v>3559</v>
      </c>
      <c r="K177" s="28">
        <v>46222.0</v>
      </c>
      <c r="L177" s="7" t="b">
        <v>1</v>
      </c>
    </row>
    <row r="178">
      <c r="A178" s="7" t="s">
        <v>3784</v>
      </c>
      <c r="B178" s="7" t="s">
        <v>2797</v>
      </c>
      <c r="C178" s="7" t="s">
        <v>2798</v>
      </c>
      <c r="D178" s="7" t="s">
        <v>2765</v>
      </c>
      <c r="E178" s="7" t="s">
        <v>3774</v>
      </c>
      <c r="F178" s="7" t="s">
        <v>3775</v>
      </c>
      <c r="G178" s="7" t="s">
        <v>3776</v>
      </c>
      <c r="H178" s="7">
        <v>8.7</v>
      </c>
      <c r="I178" s="7" t="s">
        <v>3558</v>
      </c>
      <c r="J178" s="7" t="s">
        <v>3559</v>
      </c>
      <c r="K178" s="28">
        <v>46222.0</v>
      </c>
      <c r="L178" s="7" t="b">
        <v>1</v>
      </c>
    </row>
    <row r="179">
      <c r="A179" s="7" t="s">
        <v>3785</v>
      </c>
      <c r="B179" s="7" t="s">
        <v>2801</v>
      </c>
      <c r="C179" s="7" t="s">
        <v>2802</v>
      </c>
      <c r="D179" s="7" t="s">
        <v>2765</v>
      </c>
      <c r="E179" s="7" t="s">
        <v>3774</v>
      </c>
      <c r="F179" s="7" t="s">
        <v>3775</v>
      </c>
      <c r="G179" s="7" t="s">
        <v>3776</v>
      </c>
      <c r="H179" s="7" t="s">
        <v>2804</v>
      </c>
      <c r="I179" s="7" t="s">
        <v>3558</v>
      </c>
      <c r="J179" s="7" t="s">
        <v>3559</v>
      </c>
      <c r="K179" s="28">
        <v>46222.0</v>
      </c>
      <c r="L179" s="7" t="b">
        <v>1</v>
      </c>
    </row>
    <row r="180">
      <c r="A180" s="7" t="s">
        <v>3786</v>
      </c>
      <c r="B180" s="7" t="s">
        <v>2806</v>
      </c>
      <c r="C180" s="7" t="s">
        <v>2807</v>
      </c>
      <c r="D180" s="7" t="s">
        <v>2808</v>
      </c>
      <c r="E180" s="7" t="s">
        <v>3787</v>
      </c>
      <c r="F180" s="7" t="s">
        <v>3788</v>
      </c>
      <c r="G180" s="7" t="s">
        <v>3789</v>
      </c>
      <c r="H180" s="7" t="s">
        <v>2723</v>
      </c>
      <c r="I180" s="7" t="s">
        <v>3558</v>
      </c>
      <c r="J180" s="7" t="s">
        <v>3559</v>
      </c>
      <c r="K180" s="28">
        <v>46222.0</v>
      </c>
      <c r="L180" s="7" t="b">
        <v>1</v>
      </c>
    </row>
    <row r="181">
      <c r="A181" s="7" t="s">
        <v>3790</v>
      </c>
      <c r="B181" s="7" t="s">
        <v>2810</v>
      </c>
      <c r="C181" s="7" t="s">
        <v>2811</v>
      </c>
      <c r="D181" s="7" t="s">
        <v>2808</v>
      </c>
      <c r="E181" s="7" t="s">
        <v>3787</v>
      </c>
      <c r="F181" s="7" t="s">
        <v>3788</v>
      </c>
      <c r="G181" s="7" t="s">
        <v>3789</v>
      </c>
      <c r="H181" s="7">
        <v>7.2</v>
      </c>
      <c r="I181" s="7" t="s">
        <v>3558</v>
      </c>
      <c r="J181" s="7" t="s">
        <v>3559</v>
      </c>
      <c r="K181" s="28">
        <v>46222.0</v>
      </c>
      <c r="L181" s="7" t="b">
        <v>1</v>
      </c>
    </row>
    <row r="182">
      <c r="A182" s="7" t="s">
        <v>3791</v>
      </c>
      <c r="B182" s="7" t="s">
        <v>2814</v>
      </c>
      <c r="C182" s="7" t="s">
        <v>2815</v>
      </c>
      <c r="D182" s="7" t="s">
        <v>2808</v>
      </c>
      <c r="E182" s="7" t="s">
        <v>3787</v>
      </c>
      <c r="F182" s="7" t="s">
        <v>3788</v>
      </c>
      <c r="G182" s="7" t="s">
        <v>3789</v>
      </c>
      <c r="H182" s="7" t="s">
        <v>2817</v>
      </c>
      <c r="I182" s="7" t="s">
        <v>3558</v>
      </c>
      <c r="J182" s="7" t="s">
        <v>3559</v>
      </c>
      <c r="K182" s="28">
        <v>46222.0</v>
      </c>
      <c r="L182" s="7" t="b">
        <v>1</v>
      </c>
    </row>
    <row r="183">
      <c r="A183" s="7" t="s">
        <v>3792</v>
      </c>
      <c r="B183" s="7" t="s">
        <v>2819</v>
      </c>
      <c r="C183" s="7" t="s">
        <v>2820</v>
      </c>
      <c r="D183" s="7" t="s">
        <v>2808</v>
      </c>
      <c r="E183" s="7" t="s">
        <v>3787</v>
      </c>
      <c r="F183" s="7" t="s">
        <v>3788</v>
      </c>
      <c r="G183" s="7" t="s">
        <v>3789</v>
      </c>
      <c r="H183" s="7" t="s">
        <v>2822</v>
      </c>
      <c r="I183" s="7" t="s">
        <v>3558</v>
      </c>
      <c r="J183" s="7" t="s">
        <v>3559</v>
      </c>
      <c r="K183" s="28">
        <v>46222.0</v>
      </c>
      <c r="L183" s="7" t="b">
        <v>1</v>
      </c>
    </row>
    <row r="184">
      <c r="A184" s="7" t="s">
        <v>3793</v>
      </c>
      <c r="B184" s="7" t="s">
        <v>2824</v>
      </c>
      <c r="C184" s="7" t="s">
        <v>2825</v>
      </c>
      <c r="D184" s="7" t="s">
        <v>2808</v>
      </c>
      <c r="E184" s="7" t="s">
        <v>3787</v>
      </c>
      <c r="F184" s="7" t="s">
        <v>3788</v>
      </c>
      <c r="G184" s="7" t="s">
        <v>3789</v>
      </c>
      <c r="H184" s="7" t="s">
        <v>2044</v>
      </c>
      <c r="I184" s="7" t="s">
        <v>3558</v>
      </c>
      <c r="J184" s="7" t="s">
        <v>3559</v>
      </c>
      <c r="K184" s="28">
        <v>46222.0</v>
      </c>
      <c r="L184" s="7" t="b">
        <v>1</v>
      </c>
    </row>
    <row r="185">
      <c r="A185" s="7" t="s">
        <v>3794</v>
      </c>
      <c r="B185" s="7" t="s">
        <v>2827</v>
      </c>
      <c r="C185" s="7" t="s">
        <v>2828</v>
      </c>
      <c r="D185" s="7" t="s">
        <v>2808</v>
      </c>
      <c r="E185" s="7" t="s">
        <v>3787</v>
      </c>
      <c r="F185" s="7" t="s">
        <v>3788</v>
      </c>
      <c r="G185" s="7" t="s">
        <v>3789</v>
      </c>
      <c r="H185" s="7" t="s">
        <v>2830</v>
      </c>
      <c r="I185" s="7" t="s">
        <v>3558</v>
      </c>
      <c r="J185" s="7" t="s">
        <v>3559</v>
      </c>
      <c r="K185" s="28">
        <v>46222.0</v>
      </c>
      <c r="L185" s="7" t="b">
        <v>1</v>
      </c>
    </row>
    <row r="186">
      <c r="A186" s="7" t="s">
        <v>3795</v>
      </c>
      <c r="B186" s="7" t="s">
        <v>2832</v>
      </c>
      <c r="C186" s="7" t="s">
        <v>2833</v>
      </c>
      <c r="D186" s="7" t="s">
        <v>2808</v>
      </c>
      <c r="E186" s="7" t="s">
        <v>3787</v>
      </c>
      <c r="F186" s="7" t="s">
        <v>3788</v>
      </c>
      <c r="G186" s="7" t="s">
        <v>3789</v>
      </c>
      <c r="H186" s="7" t="s">
        <v>1727</v>
      </c>
      <c r="I186" s="7" t="s">
        <v>3558</v>
      </c>
      <c r="J186" s="7" t="s">
        <v>3559</v>
      </c>
      <c r="K186" s="28">
        <v>46222.0</v>
      </c>
      <c r="L186" s="7" t="b">
        <v>1</v>
      </c>
    </row>
    <row r="187">
      <c r="A187" s="7" t="s">
        <v>3796</v>
      </c>
      <c r="B187" s="7" t="s">
        <v>2836</v>
      </c>
      <c r="C187" s="7" t="s">
        <v>2837</v>
      </c>
      <c r="D187" s="7" t="s">
        <v>2808</v>
      </c>
      <c r="E187" s="7" t="s">
        <v>3787</v>
      </c>
      <c r="F187" s="7" t="s">
        <v>3788</v>
      </c>
      <c r="G187" s="7" t="s">
        <v>3789</v>
      </c>
      <c r="H187" s="7" t="s">
        <v>2145</v>
      </c>
      <c r="I187" s="7" t="s">
        <v>3558</v>
      </c>
      <c r="J187" s="7" t="s">
        <v>3559</v>
      </c>
      <c r="K187" s="28">
        <v>46222.0</v>
      </c>
      <c r="L187" s="7" t="b">
        <v>1</v>
      </c>
    </row>
    <row r="188">
      <c r="A188" s="7" t="s">
        <v>3797</v>
      </c>
      <c r="B188" s="7" t="s">
        <v>2840</v>
      </c>
      <c r="C188" s="7" t="s">
        <v>2841</v>
      </c>
      <c r="D188" s="7" t="s">
        <v>2842</v>
      </c>
      <c r="E188" s="7" t="s">
        <v>3798</v>
      </c>
      <c r="F188" s="7" t="s">
        <v>3799</v>
      </c>
      <c r="G188" s="7" t="s">
        <v>3800</v>
      </c>
      <c r="H188" s="7" t="s">
        <v>2844</v>
      </c>
      <c r="I188" s="7" t="s">
        <v>3558</v>
      </c>
      <c r="J188" s="7" t="s">
        <v>3559</v>
      </c>
      <c r="K188" s="28">
        <v>46222.0</v>
      </c>
      <c r="L188" s="7" t="b">
        <v>1</v>
      </c>
    </row>
    <row r="189">
      <c r="A189" s="7" t="s">
        <v>3801</v>
      </c>
      <c r="B189" s="7" t="s">
        <v>2846</v>
      </c>
      <c r="C189" s="7" t="s">
        <v>2847</v>
      </c>
      <c r="D189" s="7" t="s">
        <v>2842</v>
      </c>
      <c r="E189" s="7" t="s">
        <v>3798</v>
      </c>
      <c r="F189" s="7" t="s">
        <v>3799</v>
      </c>
      <c r="G189" s="7" t="s">
        <v>3800</v>
      </c>
      <c r="H189" s="7" t="s">
        <v>1701</v>
      </c>
      <c r="I189" s="7" t="s">
        <v>3558</v>
      </c>
      <c r="J189" s="7" t="s">
        <v>3559</v>
      </c>
      <c r="K189" s="28">
        <v>46222.0</v>
      </c>
      <c r="L189" s="7" t="b">
        <v>1</v>
      </c>
    </row>
    <row r="190">
      <c r="A190" s="7" t="s">
        <v>3802</v>
      </c>
      <c r="B190" s="7" t="s">
        <v>2850</v>
      </c>
      <c r="C190" s="7" t="s">
        <v>2851</v>
      </c>
      <c r="D190" s="7" t="s">
        <v>2842</v>
      </c>
      <c r="E190" s="7" t="s">
        <v>3798</v>
      </c>
      <c r="F190" s="7" t="s">
        <v>3799</v>
      </c>
      <c r="G190" s="7" t="s">
        <v>3800</v>
      </c>
      <c r="H190" s="7">
        <v>8.6</v>
      </c>
      <c r="I190" s="7" t="s">
        <v>3558</v>
      </c>
      <c r="J190" s="7" t="s">
        <v>3559</v>
      </c>
      <c r="K190" s="28">
        <v>46222.0</v>
      </c>
      <c r="L190" s="7" t="b">
        <v>1</v>
      </c>
    </row>
    <row r="191">
      <c r="A191" s="7" t="s">
        <v>3803</v>
      </c>
      <c r="B191" s="7" t="s">
        <v>2854</v>
      </c>
      <c r="C191" s="7" t="s">
        <v>2855</v>
      </c>
      <c r="D191" s="7" t="s">
        <v>2842</v>
      </c>
      <c r="E191" s="7" t="s">
        <v>3798</v>
      </c>
      <c r="F191" s="7" t="s">
        <v>3799</v>
      </c>
      <c r="G191" s="7" t="s">
        <v>3800</v>
      </c>
      <c r="H191" s="7" t="s">
        <v>2857</v>
      </c>
      <c r="I191" s="7" t="s">
        <v>3558</v>
      </c>
      <c r="J191" s="7" t="s">
        <v>3559</v>
      </c>
      <c r="K191" s="28">
        <v>46222.0</v>
      </c>
      <c r="L191" s="7" t="b">
        <v>1</v>
      </c>
    </row>
    <row r="192">
      <c r="A192" s="7" t="s">
        <v>3804</v>
      </c>
      <c r="B192" s="7" t="s">
        <v>2858</v>
      </c>
      <c r="C192" s="7" t="s">
        <v>2859</v>
      </c>
      <c r="D192" s="7" t="s">
        <v>2842</v>
      </c>
      <c r="E192" s="7" t="s">
        <v>3798</v>
      </c>
      <c r="F192" s="7" t="s">
        <v>3799</v>
      </c>
      <c r="G192" s="7" t="s">
        <v>3800</v>
      </c>
      <c r="H192" s="7" t="s">
        <v>2589</v>
      </c>
      <c r="I192" s="7" t="s">
        <v>3558</v>
      </c>
      <c r="J192" s="7" t="s">
        <v>3559</v>
      </c>
      <c r="K192" s="28">
        <v>46222.0</v>
      </c>
      <c r="L192" s="7" t="b">
        <v>1</v>
      </c>
    </row>
    <row r="193">
      <c r="A193" s="7" t="s">
        <v>3805</v>
      </c>
      <c r="B193" s="7" t="s">
        <v>2862</v>
      </c>
      <c r="C193" s="7" t="s">
        <v>2863</v>
      </c>
      <c r="D193" s="7" t="s">
        <v>2842</v>
      </c>
      <c r="E193" s="7" t="s">
        <v>3798</v>
      </c>
      <c r="F193" s="7" t="s">
        <v>3799</v>
      </c>
      <c r="G193" s="7" t="s">
        <v>3800</v>
      </c>
      <c r="H193" s="7" t="s">
        <v>2865</v>
      </c>
      <c r="I193" s="7" t="s">
        <v>3558</v>
      </c>
      <c r="J193" s="7" t="s">
        <v>3559</v>
      </c>
      <c r="K193" s="28">
        <v>46222.0</v>
      </c>
      <c r="L193" s="7" t="b">
        <v>1</v>
      </c>
    </row>
    <row r="194">
      <c r="A194" s="7" t="s">
        <v>3806</v>
      </c>
      <c r="B194" s="7" t="s">
        <v>2867</v>
      </c>
      <c r="C194" s="7" t="s">
        <v>2868</v>
      </c>
      <c r="D194" s="7" t="s">
        <v>2842</v>
      </c>
      <c r="E194" s="7" t="s">
        <v>3798</v>
      </c>
      <c r="F194" s="7" t="s">
        <v>3799</v>
      </c>
      <c r="G194" s="7" t="s">
        <v>3800</v>
      </c>
      <c r="H194" s="7" t="s">
        <v>2610</v>
      </c>
      <c r="I194" s="7" t="s">
        <v>3558</v>
      </c>
      <c r="J194" s="7" t="s">
        <v>3559</v>
      </c>
      <c r="K194" s="28">
        <v>46222.0</v>
      </c>
      <c r="L194" s="7" t="b">
        <v>1</v>
      </c>
    </row>
    <row r="195">
      <c r="A195" s="7" t="s">
        <v>3807</v>
      </c>
      <c r="B195" s="7" t="s">
        <v>2871</v>
      </c>
      <c r="C195" s="7" t="s">
        <v>2872</v>
      </c>
      <c r="D195" s="7" t="s">
        <v>2842</v>
      </c>
      <c r="E195" s="7" t="s">
        <v>3798</v>
      </c>
      <c r="F195" s="7" t="s">
        <v>3799</v>
      </c>
      <c r="G195" s="7" t="s">
        <v>3800</v>
      </c>
      <c r="H195" s="7" t="s">
        <v>1760</v>
      </c>
      <c r="I195" s="7" t="s">
        <v>3558</v>
      </c>
      <c r="J195" s="7" t="s">
        <v>3559</v>
      </c>
      <c r="K195" s="28">
        <v>46222.0</v>
      </c>
      <c r="L195" s="7" t="b">
        <v>1</v>
      </c>
    </row>
    <row r="196">
      <c r="A196" s="7" t="s">
        <v>3808</v>
      </c>
      <c r="B196" s="7" t="s">
        <v>2875</v>
      </c>
      <c r="C196" s="7" t="s">
        <v>2876</v>
      </c>
      <c r="D196" s="7" t="s">
        <v>2842</v>
      </c>
      <c r="E196" s="7" t="s">
        <v>3798</v>
      </c>
      <c r="F196" s="7" t="s">
        <v>3799</v>
      </c>
      <c r="G196" s="7" t="s">
        <v>3800</v>
      </c>
      <c r="H196" s="7" t="s">
        <v>2158</v>
      </c>
      <c r="I196" s="7" t="s">
        <v>3558</v>
      </c>
      <c r="J196" s="7" t="s">
        <v>3559</v>
      </c>
      <c r="K196" s="28">
        <v>46222.0</v>
      </c>
      <c r="L196" s="7" t="b">
        <v>1</v>
      </c>
    </row>
    <row r="197">
      <c r="A197" s="7" t="s">
        <v>3809</v>
      </c>
      <c r="B197" s="7" t="s">
        <v>2879</v>
      </c>
      <c r="C197" s="7" t="s">
        <v>2880</v>
      </c>
      <c r="D197" s="7" t="s">
        <v>2842</v>
      </c>
      <c r="E197" s="7" t="s">
        <v>3798</v>
      </c>
      <c r="F197" s="7" t="s">
        <v>3799</v>
      </c>
      <c r="G197" s="7" t="s">
        <v>3800</v>
      </c>
      <c r="H197" s="7" t="s">
        <v>1760</v>
      </c>
      <c r="I197" s="7" t="s">
        <v>3558</v>
      </c>
      <c r="J197" s="7" t="s">
        <v>3559</v>
      </c>
      <c r="K197" s="28">
        <v>46222.0</v>
      </c>
      <c r="L197" s="7" t="b">
        <v>1</v>
      </c>
    </row>
    <row r="198">
      <c r="A198" s="7" t="s">
        <v>3810</v>
      </c>
      <c r="B198" s="7" t="s">
        <v>2883</v>
      </c>
      <c r="C198" s="7" t="s">
        <v>2884</v>
      </c>
      <c r="D198" s="7" t="s">
        <v>2885</v>
      </c>
      <c r="E198" s="7" t="s">
        <v>3811</v>
      </c>
      <c r="F198" s="7" t="s">
        <v>3812</v>
      </c>
      <c r="G198" s="7" t="s">
        <v>3789</v>
      </c>
      <c r="H198" s="7" t="s">
        <v>1701</v>
      </c>
      <c r="I198" s="7" t="s">
        <v>3558</v>
      </c>
      <c r="J198" s="7" t="s">
        <v>3559</v>
      </c>
      <c r="K198" s="28">
        <v>46222.0</v>
      </c>
      <c r="L198" s="7" t="b">
        <v>1</v>
      </c>
    </row>
    <row r="199">
      <c r="A199" s="7" t="s">
        <v>3813</v>
      </c>
      <c r="B199" s="7" t="s">
        <v>2888</v>
      </c>
      <c r="C199" s="7" t="s">
        <v>2889</v>
      </c>
      <c r="D199" s="7" t="s">
        <v>2885</v>
      </c>
      <c r="E199" s="7" t="s">
        <v>3811</v>
      </c>
      <c r="F199" s="7" t="s">
        <v>3812</v>
      </c>
      <c r="G199" s="7" t="s">
        <v>3789</v>
      </c>
      <c r="H199" s="7">
        <v>7.2</v>
      </c>
      <c r="I199" s="7" t="s">
        <v>3558</v>
      </c>
      <c r="J199" s="7" t="s">
        <v>3559</v>
      </c>
      <c r="K199" s="28">
        <v>46222.0</v>
      </c>
      <c r="L199" s="7" t="b">
        <v>1</v>
      </c>
    </row>
    <row r="200">
      <c r="A200" s="7" t="s">
        <v>3814</v>
      </c>
      <c r="B200" s="7" t="s">
        <v>2892</v>
      </c>
      <c r="C200" s="7" t="s">
        <v>2893</v>
      </c>
      <c r="D200" s="7" t="s">
        <v>2885</v>
      </c>
      <c r="E200" s="7" t="s">
        <v>3811</v>
      </c>
      <c r="F200" s="7" t="s">
        <v>3812</v>
      </c>
      <c r="G200" s="7" t="s">
        <v>3789</v>
      </c>
      <c r="H200" s="7" t="s">
        <v>2895</v>
      </c>
      <c r="I200" s="7" t="s">
        <v>3558</v>
      </c>
      <c r="J200" s="7" t="s">
        <v>3559</v>
      </c>
      <c r="K200" s="28">
        <v>46222.0</v>
      </c>
      <c r="L200" s="7" t="b">
        <v>1</v>
      </c>
    </row>
    <row r="201">
      <c r="A201" s="7" t="s">
        <v>3815</v>
      </c>
      <c r="B201" s="7" t="s">
        <v>2897</v>
      </c>
      <c r="C201" s="7" t="s">
        <v>2898</v>
      </c>
      <c r="D201" s="7" t="s">
        <v>2885</v>
      </c>
      <c r="E201" s="7" t="s">
        <v>3811</v>
      </c>
      <c r="F201" s="7" t="s">
        <v>3812</v>
      </c>
      <c r="G201" s="7" t="s">
        <v>3789</v>
      </c>
      <c r="H201" s="7" t="s">
        <v>2044</v>
      </c>
      <c r="I201" s="7" t="s">
        <v>3558</v>
      </c>
      <c r="J201" s="7" t="s">
        <v>3559</v>
      </c>
      <c r="K201" s="28">
        <v>46222.0</v>
      </c>
      <c r="L201" s="7" t="b">
        <v>1</v>
      </c>
    </row>
    <row r="202">
      <c r="A202" s="7" t="s">
        <v>3816</v>
      </c>
      <c r="B202" s="7" t="s">
        <v>2901</v>
      </c>
      <c r="C202" s="7" t="s">
        <v>2902</v>
      </c>
      <c r="D202" s="7" t="s">
        <v>2885</v>
      </c>
      <c r="E202" s="7" t="s">
        <v>3811</v>
      </c>
      <c r="F202" s="7" t="s">
        <v>3812</v>
      </c>
      <c r="G202" s="7" t="s">
        <v>3789</v>
      </c>
      <c r="H202" s="7" t="s">
        <v>2904</v>
      </c>
      <c r="I202" s="7" t="s">
        <v>3558</v>
      </c>
      <c r="J202" s="7" t="s">
        <v>3559</v>
      </c>
      <c r="K202" s="28">
        <v>46222.0</v>
      </c>
      <c r="L202" s="7" t="b">
        <v>1</v>
      </c>
    </row>
    <row r="203">
      <c r="A203" s="7" t="s">
        <v>3817</v>
      </c>
      <c r="B203" s="7" t="s">
        <v>2906</v>
      </c>
      <c r="C203" s="7" t="s">
        <v>2907</v>
      </c>
      <c r="D203" s="7" t="s">
        <v>2885</v>
      </c>
      <c r="E203" s="7" t="s">
        <v>3811</v>
      </c>
      <c r="F203" s="7" t="s">
        <v>3812</v>
      </c>
      <c r="G203" s="7" t="s">
        <v>3789</v>
      </c>
      <c r="H203" s="7" t="s">
        <v>2909</v>
      </c>
      <c r="I203" s="7" t="s">
        <v>3558</v>
      </c>
      <c r="J203" s="7" t="s">
        <v>3559</v>
      </c>
      <c r="K203" s="28">
        <v>46222.0</v>
      </c>
      <c r="L203" s="7" t="b">
        <v>1</v>
      </c>
    </row>
    <row r="204">
      <c r="A204" s="7" t="s">
        <v>3818</v>
      </c>
      <c r="B204" s="7" t="s">
        <v>2911</v>
      </c>
      <c r="C204" s="7" t="s">
        <v>2912</v>
      </c>
      <c r="D204" s="7" t="s">
        <v>2885</v>
      </c>
      <c r="E204" s="7" t="s">
        <v>3811</v>
      </c>
      <c r="F204" s="7" t="s">
        <v>3812</v>
      </c>
      <c r="G204" s="7" t="s">
        <v>3789</v>
      </c>
      <c r="H204" s="7" t="s">
        <v>2822</v>
      </c>
      <c r="I204" s="7" t="s">
        <v>3558</v>
      </c>
      <c r="J204" s="7" t="s">
        <v>3559</v>
      </c>
      <c r="K204" s="28">
        <v>46222.0</v>
      </c>
      <c r="L204" s="7" t="b">
        <v>1</v>
      </c>
    </row>
    <row r="205">
      <c r="A205" s="7" t="s">
        <v>3819</v>
      </c>
      <c r="B205" s="7" t="s">
        <v>2915</v>
      </c>
      <c r="C205" s="7" t="s">
        <v>2916</v>
      </c>
      <c r="D205" s="7" t="s">
        <v>2885</v>
      </c>
      <c r="E205" s="7" t="s">
        <v>3811</v>
      </c>
      <c r="F205" s="7" t="s">
        <v>3812</v>
      </c>
      <c r="G205" s="7" t="s">
        <v>3789</v>
      </c>
      <c r="H205" s="7" t="s">
        <v>2145</v>
      </c>
      <c r="I205" s="7" t="s">
        <v>3558</v>
      </c>
      <c r="J205" s="7" t="s">
        <v>3559</v>
      </c>
      <c r="K205" s="28">
        <v>46222.0</v>
      </c>
      <c r="L205" s="7" t="b">
        <v>1</v>
      </c>
    </row>
    <row r="206">
      <c r="A206" s="7" t="s">
        <v>3820</v>
      </c>
      <c r="B206" s="7" t="s">
        <v>2919</v>
      </c>
      <c r="C206" s="7" t="s">
        <v>2920</v>
      </c>
      <c r="D206" s="7" t="s">
        <v>2885</v>
      </c>
      <c r="E206" s="7" t="s">
        <v>3811</v>
      </c>
      <c r="F206" s="7" t="s">
        <v>3812</v>
      </c>
      <c r="G206" s="7" t="s">
        <v>3789</v>
      </c>
      <c r="H206" s="7" t="s">
        <v>2470</v>
      </c>
      <c r="I206" s="7" t="s">
        <v>3558</v>
      </c>
      <c r="J206" s="7" t="s">
        <v>3559</v>
      </c>
      <c r="K206" s="28">
        <v>46222.0</v>
      </c>
      <c r="L206" s="7" t="b">
        <v>1</v>
      </c>
    </row>
    <row r="207">
      <c r="A207" s="7" t="s">
        <v>3821</v>
      </c>
      <c r="B207" s="7" t="s">
        <v>2923</v>
      </c>
      <c r="C207" s="7" t="s">
        <v>2924</v>
      </c>
      <c r="D207" s="7" t="s">
        <v>2885</v>
      </c>
      <c r="E207" s="7" t="s">
        <v>3811</v>
      </c>
      <c r="F207" s="7" t="s">
        <v>3812</v>
      </c>
      <c r="G207" s="7" t="s">
        <v>3789</v>
      </c>
      <c r="H207" s="7" t="s">
        <v>2926</v>
      </c>
      <c r="I207" s="7" t="s">
        <v>3558</v>
      </c>
      <c r="J207" s="7" t="s">
        <v>3559</v>
      </c>
      <c r="K207" s="28">
        <v>46222.0</v>
      </c>
      <c r="L207" s="7" t="b">
        <v>1</v>
      </c>
    </row>
    <row r="208">
      <c r="A208" s="7" t="s">
        <v>3822</v>
      </c>
      <c r="B208" s="7" t="s">
        <v>2928</v>
      </c>
      <c r="C208" s="7" t="s">
        <v>2929</v>
      </c>
      <c r="D208" s="7" t="s">
        <v>1379</v>
      </c>
      <c r="E208" s="7" t="s">
        <v>3823</v>
      </c>
      <c r="F208" s="7" t="s">
        <v>3824</v>
      </c>
      <c r="G208" s="7" t="s">
        <v>3825</v>
      </c>
      <c r="H208" s="7" t="s">
        <v>2610</v>
      </c>
      <c r="I208" s="7" t="s">
        <v>3558</v>
      </c>
      <c r="J208" s="7" t="s">
        <v>3559</v>
      </c>
      <c r="K208" s="28">
        <v>46222.0</v>
      </c>
      <c r="L208" s="7" t="b">
        <v>1</v>
      </c>
    </row>
    <row r="209">
      <c r="A209" s="7" t="s">
        <v>3826</v>
      </c>
      <c r="B209" s="7" t="s">
        <v>2932</v>
      </c>
      <c r="C209" s="7" t="s">
        <v>2933</v>
      </c>
      <c r="D209" s="7" t="s">
        <v>1379</v>
      </c>
      <c r="E209" s="7" t="s">
        <v>3823</v>
      </c>
      <c r="F209" s="7" t="s">
        <v>3824</v>
      </c>
      <c r="G209" s="7" t="s">
        <v>3825</v>
      </c>
      <c r="H209" s="7" t="s">
        <v>2584</v>
      </c>
      <c r="I209" s="7" t="s">
        <v>3558</v>
      </c>
      <c r="J209" s="7" t="s">
        <v>3559</v>
      </c>
      <c r="K209" s="28">
        <v>46222.0</v>
      </c>
      <c r="L209" s="7" t="b">
        <v>1</v>
      </c>
    </row>
    <row r="210">
      <c r="A210" s="7" t="s">
        <v>3827</v>
      </c>
      <c r="B210" s="7" t="s">
        <v>2936</v>
      </c>
      <c r="C210" s="7" t="s">
        <v>2937</v>
      </c>
      <c r="D210" s="7" t="s">
        <v>1379</v>
      </c>
      <c r="E210" s="7" t="s">
        <v>3823</v>
      </c>
      <c r="F210" s="7" t="s">
        <v>3824</v>
      </c>
      <c r="G210" s="7" t="s">
        <v>3825</v>
      </c>
      <c r="H210" s="7">
        <v>5.3</v>
      </c>
      <c r="I210" s="7" t="s">
        <v>3558</v>
      </c>
      <c r="J210" s="7" t="s">
        <v>3559</v>
      </c>
      <c r="K210" s="28">
        <v>46222.0</v>
      </c>
      <c r="L210" s="7" t="b">
        <v>1</v>
      </c>
    </row>
    <row r="211">
      <c r="A211" s="7" t="s">
        <v>3828</v>
      </c>
      <c r="B211" s="7" t="s">
        <v>2939</v>
      </c>
      <c r="C211" s="7" t="s">
        <v>2940</v>
      </c>
      <c r="D211" s="7" t="s">
        <v>1379</v>
      </c>
      <c r="E211" s="7" t="s">
        <v>3823</v>
      </c>
      <c r="F211" s="7" t="s">
        <v>3824</v>
      </c>
      <c r="G211" s="7" t="s">
        <v>3825</v>
      </c>
      <c r="H211" s="7" t="s">
        <v>2942</v>
      </c>
      <c r="I211" s="7" t="s">
        <v>3558</v>
      </c>
      <c r="J211" s="7" t="s">
        <v>3559</v>
      </c>
      <c r="K211" s="28">
        <v>46222.0</v>
      </c>
      <c r="L211" s="7" t="b">
        <v>1</v>
      </c>
    </row>
    <row r="212">
      <c r="A212" s="7" t="s">
        <v>3829</v>
      </c>
      <c r="B212" s="7" t="s">
        <v>2944</v>
      </c>
      <c r="C212" s="7" t="s">
        <v>2945</v>
      </c>
      <c r="D212" s="7" t="s">
        <v>1379</v>
      </c>
      <c r="E212" s="7" t="s">
        <v>3823</v>
      </c>
      <c r="F212" s="7" t="s">
        <v>3824</v>
      </c>
      <c r="G212" s="7" t="s">
        <v>3825</v>
      </c>
      <c r="H212" s="7" t="s">
        <v>1760</v>
      </c>
      <c r="I212" s="7" t="s">
        <v>3558</v>
      </c>
      <c r="J212" s="7" t="s">
        <v>3559</v>
      </c>
      <c r="K212" s="28">
        <v>46222.0</v>
      </c>
      <c r="L212" s="7" t="b">
        <v>1</v>
      </c>
    </row>
    <row r="213">
      <c r="A213" s="7" t="s">
        <v>3830</v>
      </c>
      <c r="B213" s="7" t="s">
        <v>2948</v>
      </c>
      <c r="C213" s="7" t="s">
        <v>2949</v>
      </c>
      <c r="D213" s="7" t="s">
        <v>1379</v>
      </c>
      <c r="E213" s="7" t="s">
        <v>3823</v>
      </c>
      <c r="F213" s="7" t="s">
        <v>3824</v>
      </c>
      <c r="G213" s="7" t="s">
        <v>3825</v>
      </c>
      <c r="H213" s="7" t="s">
        <v>1747</v>
      </c>
      <c r="I213" s="7" t="s">
        <v>3558</v>
      </c>
      <c r="J213" s="7" t="s">
        <v>3559</v>
      </c>
      <c r="K213" s="28">
        <v>46222.0</v>
      </c>
      <c r="L213" s="7" t="b">
        <v>1</v>
      </c>
    </row>
    <row r="214">
      <c r="A214" s="7" t="s">
        <v>3831</v>
      </c>
      <c r="B214" s="7" t="s">
        <v>2952</v>
      </c>
      <c r="C214" s="7" t="s">
        <v>2953</v>
      </c>
      <c r="D214" s="7" t="s">
        <v>1379</v>
      </c>
      <c r="E214" s="7" t="s">
        <v>3823</v>
      </c>
      <c r="F214" s="7" t="s">
        <v>3824</v>
      </c>
      <c r="G214" s="7" t="s">
        <v>3825</v>
      </c>
      <c r="H214" s="7">
        <v>8.6</v>
      </c>
      <c r="I214" s="7" t="s">
        <v>3558</v>
      </c>
      <c r="J214" s="7" t="s">
        <v>3559</v>
      </c>
      <c r="K214" s="28">
        <v>46222.0</v>
      </c>
      <c r="L214" s="7" t="b">
        <v>1</v>
      </c>
    </row>
    <row r="215">
      <c r="A215" s="7" t="s">
        <v>3832</v>
      </c>
      <c r="B215" s="7" t="s">
        <v>2956</v>
      </c>
      <c r="C215" s="7" t="s">
        <v>2957</v>
      </c>
      <c r="D215" s="7" t="s">
        <v>1379</v>
      </c>
      <c r="E215" s="7" t="s">
        <v>3823</v>
      </c>
      <c r="F215" s="7" t="s">
        <v>3824</v>
      </c>
      <c r="G215" s="7" t="s">
        <v>3825</v>
      </c>
      <c r="H215" s="7" t="s">
        <v>2528</v>
      </c>
      <c r="I215" s="7" t="s">
        <v>3558</v>
      </c>
      <c r="J215" s="7" t="s">
        <v>3559</v>
      </c>
      <c r="K215" s="28">
        <v>46222.0</v>
      </c>
      <c r="L215" s="7" t="b">
        <v>1</v>
      </c>
    </row>
    <row r="216">
      <c r="A216" s="7" t="s">
        <v>3833</v>
      </c>
      <c r="B216" s="7" t="s">
        <v>2960</v>
      </c>
      <c r="C216" s="7" t="s">
        <v>2961</v>
      </c>
      <c r="D216" s="7" t="s">
        <v>1379</v>
      </c>
      <c r="E216" s="7" t="s">
        <v>3823</v>
      </c>
      <c r="F216" s="7" t="s">
        <v>3824</v>
      </c>
      <c r="G216" s="7" t="s">
        <v>3825</v>
      </c>
      <c r="H216" s="7" t="s">
        <v>2044</v>
      </c>
      <c r="I216" s="7" t="s">
        <v>3558</v>
      </c>
      <c r="J216" s="7" t="s">
        <v>3559</v>
      </c>
      <c r="K216" s="28">
        <v>46222.0</v>
      </c>
      <c r="L216" s="7" t="b">
        <v>1</v>
      </c>
    </row>
    <row r="217">
      <c r="A217" s="7" t="s">
        <v>3834</v>
      </c>
      <c r="B217" s="7" t="s">
        <v>2964</v>
      </c>
      <c r="C217" s="7" t="s">
        <v>2965</v>
      </c>
      <c r="D217" s="7" t="s">
        <v>1379</v>
      </c>
      <c r="E217" s="7" t="s">
        <v>3823</v>
      </c>
      <c r="F217" s="7" t="s">
        <v>3824</v>
      </c>
      <c r="G217" s="7" t="s">
        <v>3825</v>
      </c>
      <c r="H217" s="7">
        <v>10.3</v>
      </c>
      <c r="I217" s="7" t="s">
        <v>3558</v>
      </c>
      <c r="J217" s="7" t="s">
        <v>3559</v>
      </c>
      <c r="K217" s="28">
        <v>46222.0</v>
      </c>
      <c r="L217" s="7" t="b">
        <v>1</v>
      </c>
    </row>
    <row r="218">
      <c r="A218" s="7" t="s">
        <v>3835</v>
      </c>
      <c r="B218" s="7" t="s">
        <v>2968</v>
      </c>
      <c r="C218" s="7" t="s">
        <v>2969</v>
      </c>
      <c r="D218" s="7" t="s">
        <v>1383</v>
      </c>
      <c r="E218" s="7" t="s">
        <v>3836</v>
      </c>
      <c r="F218" s="7" t="s">
        <v>3837</v>
      </c>
      <c r="G218" s="7" t="s">
        <v>3838</v>
      </c>
      <c r="H218" s="7">
        <v>7.5</v>
      </c>
      <c r="I218" s="7" t="s">
        <v>3558</v>
      </c>
      <c r="J218" s="7" t="s">
        <v>3559</v>
      </c>
      <c r="K218" s="28">
        <v>46222.0</v>
      </c>
      <c r="L218" s="7" t="b">
        <v>1</v>
      </c>
    </row>
    <row r="219">
      <c r="A219" s="7" t="s">
        <v>3839</v>
      </c>
      <c r="B219" s="7" t="s">
        <v>2972</v>
      </c>
      <c r="C219" s="7" t="s">
        <v>2973</v>
      </c>
      <c r="D219" s="7" t="s">
        <v>1383</v>
      </c>
      <c r="E219" s="7" t="s">
        <v>3836</v>
      </c>
      <c r="F219" s="7" t="s">
        <v>3837</v>
      </c>
      <c r="G219" s="7" t="s">
        <v>3838</v>
      </c>
      <c r="H219" s="7" t="s">
        <v>2975</v>
      </c>
      <c r="I219" s="7" t="s">
        <v>3558</v>
      </c>
      <c r="J219" s="7" t="s">
        <v>3559</v>
      </c>
      <c r="K219" s="28">
        <v>46222.0</v>
      </c>
      <c r="L219" s="7" t="b">
        <v>1</v>
      </c>
    </row>
    <row r="220">
      <c r="A220" s="7" t="s">
        <v>3840</v>
      </c>
      <c r="B220" s="7" t="s">
        <v>2977</v>
      </c>
      <c r="C220" s="7" t="s">
        <v>2978</v>
      </c>
      <c r="D220" s="7" t="s">
        <v>1383</v>
      </c>
      <c r="E220" s="7" t="s">
        <v>3836</v>
      </c>
      <c r="F220" s="7" t="s">
        <v>3837</v>
      </c>
      <c r="G220" s="7" t="s">
        <v>3838</v>
      </c>
      <c r="H220" s="7" t="s">
        <v>2980</v>
      </c>
      <c r="I220" s="7" t="s">
        <v>3558</v>
      </c>
      <c r="J220" s="7" t="s">
        <v>3559</v>
      </c>
      <c r="K220" s="28">
        <v>46222.0</v>
      </c>
      <c r="L220" s="7" t="b">
        <v>1</v>
      </c>
    </row>
    <row r="221">
      <c r="A221" s="7" t="s">
        <v>3841</v>
      </c>
      <c r="B221" s="7" t="s">
        <v>2982</v>
      </c>
      <c r="C221" s="7" t="s">
        <v>2983</v>
      </c>
      <c r="D221" s="7" t="s">
        <v>1383</v>
      </c>
      <c r="E221" s="7" t="s">
        <v>3836</v>
      </c>
      <c r="F221" s="7" t="s">
        <v>3837</v>
      </c>
      <c r="G221" s="7" t="s">
        <v>3838</v>
      </c>
      <c r="H221" s="7" t="s">
        <v>2985</v>
      </c>
      <c r="I221" s="7" t="s">
        <v>3558</v>
      </c>
      <c r="J221" s="7" t="s">
        <v>3559</v>
      </c>
      <c r="K221" s="28">
        <v>46222.0</v>
      </c>
      <c r="L221" s="7" t="b">
        <v>1</v>
      </c>
    </row>
    <row r="222">
      <c r="A222" s="7" t="s">
        <v>3842</v>
      </c>
      <c r="B222" s="7" t="s">
        <v>2987</v>
      </c>
      <c r="C222" s="7" t="s">
        <v>2988</v>
      </c>
      <c r="D222" s="7" t="s">
        <v>1383</v>
      </c>
      <c r="E222" s="7" t="s">
        <v>3836</v>
      </c>
      <c r="F222" s="7" t="s">
        <v>3837</v>
      </c>
      <c r="G222" s="7" t="s">
        <v>3838</v>
      </c>
      <c r="H222" s="7" t="s">
        <v>2990</v>
      </c>
      <c r="I222" s="7" t="s">
        <v>3558</v>
      </c>
      <c r="J222" s="7" t="s">
        <v>3559</v>
      </c>
      <c r="K222" s="28">
        <v>46222.0</v>
      </c>
      <c r="L222" s="7" t="b">
        <v>1</v>
      </c>
    </row>
    <row r="223">
      <c r="A223" s="7" t="s">
        <v>3843</v>
      </c>
      <c r="B223" s="7" t="s">
        <v>2992</v>
      </c>
      <c r="C223" s="7" t="s">
        <v>2993</v>
      </c>
      <c r="D223" s="7" t="s">
        <v>1383</v>
      </c>
      <c r="E223" s="7" t="s">
        <v>3836</v>
      </c>
      <c r="F223" s="7" t="s">
        <v>3837</v>
      </c>
      <c r="G223" s="7" t="s">
        <v>3838</v>
      </c>
      <c r="H223" s="7" t="s">
        <v>2985</v>
      </c>
      <c r="I223" s="7" t="s">
        <v>3558</v>
      </c>
      <c r="J223" s="7" t="s">
        <v>3559</v>
      </c>
      <c r="K223" s="28">
        <v>46222.0</v>
      </c>
      <c r="L223" s="7" t="b">
        <v>1</v>
      </c>
    </row>
    <row r="224">
      <c r="A224" s="7" t="s">
        <v>3844</v>
      </c>
      <c r="B224" s="7" t="s">
        <v>2995</v>
      </c>
      <c r="C224" s="7" t="s">
        <v>2996</v>
      </c>
      <c r="D224" s="7" t="s">
        <v>1383</v>
      </c>
      <c r="E224" s="7" t="s">
        <v>3836</v>
      </c>
      <c r="F224" s="7" t="s">
        <v>3837</v>
      </c>
      <c r="G224" s="7" t="s">
        <v>3838</v>
      </c>
      <c r="H224" s="7">
        <v>9.2</v>
      </c>
      <c r="I224" s="7" t="s">
        <v>3558</v>
      </c>
      <c r="J224" s="7" t="s">
        <v>3559</v>
      </c>
      <c r="K224" s="28">
        <v>46222.0</v>
      </c>
      <c r="L224" s="7" t="b">
        <v>1</v>
      </c>
    </row>
    <row r="225">
      <c r="A225" s="7" t="s">
        <v>3845</v>
      </c>
      <c r="B225" s="7" t="s">
        <v>2999</v>
      </c>
      <c r="C225" s="7" t="s">
        <v>3000</v>
      </c>
      <c r="D225" s="7" t="s">
        <v>1383</v>
      </c>
      <c r="E225" s="7" t="s">
        <v>3836</v>
      </c>
      <c r="F225" s="7" t="s">
        <v>3837</v>
      </c>
      <c r="G225" s="7" t="s">
        <v>3838</v>
      </c>
      <c r="H225" s="7">
        <v>9.2</v>
      </c>
      <c r="I225" s="7" t="s">
        <v>3558</v>
      </c>
      <c r="J225" s="7" t="s">
        <v>3559</v>
      </c>
      <c r="K225" s="28">
        <v>46222.0</v>
      </c>
      <c r="L225" s="7" t="b">
        <v>1</v>
      </c>
    </row>
    <row r="226">
      <c r="A226" s="7" t="s">
        <v>3846</v>
      </c>
      <c r="B226" s="7" t="s">
        <v>3003</v>
      </c>
      <c r="C226" s="7" t="s">
        <v>3004</v>
      </c>
      <c r="D226" s="7" t="s">
        <v>1383</v>
      </c>
      <c r="E226" s="7" t="s">
        <v>3836</v>
      </c>
      <c r="F226" s="7" t="s">
        <v>3837</v>
      </c>
      <c r="G226" s="7" t="s">
        <v>3838</v>
      </c>
      <c r="H226" s="7">
        <v>10.2</v>
      </c>
      <c r="I226" s="7" t="s">
        <v>3558</v>
      </c>
      <c r="J226" s="7" t="s">
        <v>3559</v>
      </c>
      <c r="K226" s="28">
        <v>46222.0</v>
      </c>
      <c r="L226" s="7" t="b">
        <v>1</v>
      </c>
    </row>
    <row r="227">
      <c r="A227" s="7" t="s">
        <v>3847</v>
      </c>
      <c r="B227" s="7" t="s">
        <v>3007</v>
      </c>
      <c r="C227" s="7" t="s">
        <v>3008</v>
      </c>
      <c r="D227" s="7" t="s">
        <v>1383</v>
      </c>
      <c r="E227" s="7" t="s">
        <v>3836</v>
      </c>
      <c r="F227" s="7" t="s">
        <v>3837</v>
      </c>
      <c r="G227" s="7" t="s">
        <v>3838</v>
      </c>
      <c r="H227" s="7" t="s">
        <v>2158</v>
      </c>
      <c r="I227" s="7" t="s">
        <v>3558</v>
      </c>
      <c r="J227" s="7" t="s">
        <v>3559</v>
      </c>
      <c r="K227" s="28">
        <v>46222.0</v>
      </c>
      <c r="L227" s="7" t="b">
        <v>1</v>
      </c>
    </row>
    <row r="228">
      <c r="A228" s="7" t="s">
        <v>3848</v>
      </c>
      <c r="B228" s="7" t="s">
        <v>3011</v>
      </c>
      <c r="C228" s="7" t="s">
        <v>3012</v>
      </c>
      <c r="D228" s="7" t="s">
        <v>1383</v>
      </c>
      <c r="E228" s="7" t="s">
        <v>3836</v>
      </c>
      <c r="F228" s="7" t="s">
        <v>3837</v>
      </c>
      <c r="G228" s="7" t="s">
        <v>3838</v>
      </c>
      <c r="H228" s="7">
        <v>9.3</v>
      </c>
      <c r="I228" s="7" t="s">
        <v>3558</v>
      </c>
      <c r="J228" s="7" t="s">
        <v>3559</v>
      </c>
      <c r="K228" s="28">
        <v>46222.0</v>
      </c>
      <c r="L228" s="7" t="b">
        <v>1</v>
      </c>
    </row>
    <row r="229">
      <c r="A229" s="7" t="s">
        <v>3849</v>
      </c>
      <c r="B229" s="7" t="s">
        <v>3014</v>
      </c>
      <c r="C229" s="7" t="s">
        <v>3015</v>
      </c>
      <c r="D229" s="7" t="s">
        <v>1383</v>
      </c>
      <c r="E229" s="7" t="s">
        <v>3836</v>
      </c>
      <c r="F229" s="7" t="s">
        <v>3837</v>
      </c>
      <c r="G229" s="7" t="s">
        <v>3838</v>
      </c>
      <c r="H229" s="7" t="s">
        <v>2158</v>
      </c>
      <c r="I229" s="7" t="s">
        <v>3558</v>
      </c>
      <c r="J229" s="7" t="s">
        <v>3559</v>
      </c>
      <c r="K229" s="28">
        <v>46222.0</v>
      </c>
      <c r="L229" s="7" t="b">
        <v>1</v>
      </c>
    </row>
    <row r="230">
      <c r="A230" s="7" t="s">
        <v>3850</v>
      </c>
      <c r="B230" s="7" t="s">
        <v>3018</v>
      </c>
      <c r="C230" s="7" t="s">
        <v>3019</v>
      </c>
      <c r="D230" s="7" t="s">
        <v>3020</v>
      </c>
      <c r="E230" s="7" t="s">
        <v>3851</v>
      </c>
      <c r="F230" s="7" t="s">
        <v>3852</v>
      </c>
      <c r="G230" s="7" t="s">
        <v>3853</v>
      </c>
      <c r="H230" s="7">
        <v>5.3</v>
      </c>
      <c r="I230" s="7" t="s">
        <v>3558</v>
      </c>
      <c r="J230" s="7" t="s">
        <v>3559</v>
      </c>
      <c r="K230" s="28">
        <v>46222.0</v>
      </c>
      <c r="L230" s="7" t="b">
        <v>1</v>
      </c>
    </row>
    <row r="231">
      <c r="A231" s="7" t="s">
        <v>3854</v>
      </c>
      <c r="B231" s="7" t="s">
        <v>3023</v>
      </c>
      <c r="C231" s="7" t="s">
        <v>3024</v>
      </c>
      <c r="D231" s="7" t="s">
        <v>3020</v>
      </c>
      <c r="E231" s="7" t="s">
        <v>3851</v>
      </c>
      <c r="F231" s="7" t="s">
        <v>3852</v>
      </c>
      <c r="G231" s="7" t="s">
        <v>3853</v>
      </c>
      <c r="H231" s="7" t="s">
        <v>1649</v>
      </c>
      <c r="I231" s="7" t="s">
        <v>3558</v>
      </c>
      <c r="J231" s="7" t="s">
        <v>3559</v>
      </c>
      <c r="K231" s="28">
        <v>46222.0</v>
      </c>
      <c r="L231" s="7" t="b">
        <v>1</v>
      </c>
    </row>
    <row r="232">
      <c r="A232" s="7" t="s">
        <v>3855</v>
      </c>
      <c r="B232" s="7" t="s">
        <v>3026</v>
      </c>
      <c r="C232" s="7" t="s">
        <v>3027</v>
      </c>
      <c r="D232" s="7" t="s">
        <v>3020</v>
      </c>
      <c r="E232" s="7" t="s">
        <v>3851</v>
      </c>
      <c r="F232" s="7" t="s">
        <v>3852</v>
      </c>
      <c r="G232" s="7" t="s">
        <v>3853</v>
      </c>
      <c r="H232" s="7" t="s">
        <v>3029</v>
      </c>
      <c r="I232" s="7" t="s">
        <v>3558</v>
      </c>
      <c r="J232" s="7" t="s">
        <v>3559</v>
      </c>
      <c r="K232" s="28">
        <v>46222.0</v>
      </c>
      <c r="L232" s="7" t="b">
        <v>1</v>
      </c>
    </row>
    <row r="233">
      <c r="A233" s="7" t="s">
        <v>3856</v>
      </c>
      <c r="B233" s="7" t="s">
        <v>3031</v>
      </c>
      <c r="C233" s="7" t="s">
        <v>3032</v>
      </c>
      <c r="D233" s="7" t="s">
        <v>3020</v>
      </c>
      <c r="E233" s="7" t="s">
        <v>3851</v>
      </c>
      <c r="F233" s="7" t="s">
        <v>3852</v>
      </c>
      <c r="G233" s="7" t="s">
        <v>3853</v>
      </c>
      <c r="H233" s="7" t="s">
        <v>2748</v>
      </c>
      <c r="I233" s="7" t="s">
        <v>3558</v>
      </c>
      <c r="J233" s="7" t="s">
        <v>3559</v>
      </c>
      <c r="K233" s="28">
        <v>46222.0</v>
      </c>
      <c r="L233" s="7" t="b">
        <v>1</v>
      </c>
    </row>
    <row r="234">
      <c r="A234" s="7" t="s">
        <v>3857</v>
      </c>
      <c r="B234" s="7" t="s">
        <v>3035</v>
      </c>
      <c r="C234" s="7" t="s">
        <v>3036</v>
      </c>
      <c r="D234" s="7" t="s">
        <v>3020</v>
      </c>
      <c r="E234" s="7" t="s">
        <v>3851</v>
      </c>
      <c r="F234" s="7" t="s">
        <v>3852</v>
      </c>
      <c r="G234" s="7" t="s">
        <v>3853</v>
      </c>
      <c r="H234" s="7" t="s">
        <v>1659</v>
      </c>
      <c r="I234" s="7" t="s">
        <v>3558</v>
      </c>
      <c r="J234" s="7" t="s">
        <v>3559</v>
      </c>
      <c r="K234" s="28">
        <v>46222.0</v>
      </c>
      <c r="L234" s="7" t="b">
        <v>1</v>
      </c>
    </row>
    <row r="235">
      <c r="A235" s="7" t="s">
        <v>3858</v>
      </c>
      <c r="B235" s="7" t="s">
        <v>3039</v>
      </c>
      <c r="C235" s="7" t="s">
        <v>3040</v>
      </c>
      <c r="D235" s="7" t="s">
        <v>3020</v>
      </c>
      <c r="E235" s="7" t="s">
        <v>3851</v>
      </c>
      <c r="F235" s="7" t="s">
        <v>3852</v>
      </c>
      <c r="G235" s="7" t="s">
        <v>3853</v>
      </c>
      <c r="H235" s="7" t="s">
        <v>3042</v>
      </c>
      <c r="I235" s="7" t="s">
        <v>3558</v>
      </c>
      <c r="J235" s="7" t="s">
        <v>3559</v>
      </c>
      <c r="K235" s="28">
        <v>46222.0</v>
      </c>
      <c r="L235" s="7" t="b">
        <v>1</v>
      </c>
    </row>
    <row r="236">
      <c r="A236" s="7" t="s">
        <v>3859</v>
      </c>
      <c r="B236" s="7" t="s">
        <v>3043</v>
      </c>
      <c r="C236" s="7" t="s">
        <v>3044</v>
      </c>
      <c r="D236" s="7" t="s">
        <v>3020</v>
      </c>
      <c r="E236" s="7" t="s">
        <v>3851</v>
      </c>
      <c r="F236" s="7" t="s">
        <v>3852</v>
      </c>
      <c r="G236" s="7" t="s">
        <v>3853</v>
      </c>
      <c r="H236" s="7" t="s">
        <v>3042</v>
      </c>
      <c r="I236" s="7" t="s">
        <v>3558</v>
      </c>
      <c r="J236" s="7" t="s">
        <v>3559</v>
      </c>
      <c r="K236" s="28">
        <v>46222.0</v>
      </c>
      <c r="L236" s="7" t="b">
        <v>1</v>
      </c>
    </row>
    <row r="237">
      <c r="A237" s="7" t="s">
        <v>3860</v>
      </c>
      <c r="B237" s="7" t="s">
        <v>3047</v>
      </c>
      <c r="C237" s="7" t="s">
        <v>3048</v>
      </c>
      <c r="D237" s="7" t="s">
        <v>3020</v>
      </c>
      <c r="E237" s="7" t="s">
        <v>3851</v>
      </c>
      <c r="F237" s="7" t="s">
        <v>3852</v>
      </c>
      <c r="G237" s="7" t="s">
        <v>3853</v>
      </c>
      <c r="H237" s="7" t="s">
        <v>2528</v>
      </c>
      <c r="I237" s="7" t="s">
        <v>3558</v>
      </c>
      <c r="J237" s="7" t="s">
        <v>3559</v>
      </c>
      <c r="K237" s="28">
        <v>46222.0</v>
      </c>
      <c r="L237" s="7" t="b">
        <v>1</v>
      </c>
    </row>
    <row r="238">
      <c r="A238" s="7" t="s">
        <v>3861</v>
      </c>
      <c r="B238" s="7" t="s">
        <v>3050</v>
      </c>
      <c r="C238" s="7" t="s">
        <v>3051</v>
      </c>
      <c r="D238" s="7" t="s">
        <v>3020</v>
      </c>
      <c r="E238" s="7" t="s">
        <v>3851</v>
      </c>
      <c r="F238" s="7" t="s">
        <v>3852</v>
      </c>
      <c r="G238" s="7" t="s">
        <v>3853</v>
      </c>
      <c r="H238" s="7" t="s">
        <v>3053</v>
      </c>
      <c r="I238" s="7" t="s">
        <v>3558</v>
      </c>
      <c r="J238" s="7" t="s">
        <v>3559</v>
      </c>
      <c r="K238" s="28">
        <v>46222.0</v>
      </c>
      <c r="L238" s="7" t="b">
        <v>1</v>
      </c>
    </row>
    <row r="239">
      <c r="A239" s="7" t="s">
        <v>3862</v>
      </c>
      <c r="B239" s="7" t="s">
        <v>3055</v>
      </c>
      <c r="C239" s="7" t="s">
        <v>3056</v>
      </c>
      <c r="D239" s="7" t="s">
        <v>3020</v>
      </c>
      <c r="E239" s="7" t="s">
        <v>3851</v>
      </c>
      <c r="F239" s="7" t="s">
        <v>3852</v>
      </c>
      <c r="G239" s="7" t="s">
        <v>3853</v>
      </c>
      <c r="H239" s="7" t="s">
        <v>3058</v>
      </c>
      <c r="I239" s="7" t="s">
        <v>3558</v>
      </c>
      <c r="J239" s="7" t="s">
        <v>3559</v>
      </c>
      <c r="K239" s="28">
        <v>46222.0</v>
      </c>
      <c r="L239" s="7" t="b">
        <v>1</v>
      </c>
    </row>
    <row r="240">
      <c r="A240" s="7" t="s">
        <v>3863</v>
      </c>
      <c r="B240" s="7" t="s">
        <v>3060</v>
      </c>
      <c r="C240" s="7" t="s">
        <v>3061</v>
      </c>
      <c r="D240" s="7" t="s">
        <v>1387</v>
      </c>
      <c r="E240" s="7" t="s">
        <v>3864</v>
      </c>
      <c r="F240" s="7" t="s">
        <v>3865</v>
      </c>
      <c r="G240" s="7" t="s">
        <v>3866</v>
      </c>
      <c r="H240" s="7" t="s">
        <v>3063</v>
      </c>
      <c r="I240" s="7" t="s">
        <v>3558</v>
      </c>
      <c r="J240" s="7" t="s">
        <v>3559</v>
      </c>
      <c r="K240" s="28">
        <v>46222.0</v>
      </c>
      <c r="L240" s="7" t="b">
        <v>1</v>
      </c>
    </row>
    <row r="241">
      <c r="A241" s="7" t="s">
        <v>3867</v>
      </c>
      <c r="B241" s="7" t="s">
        <v>3065</v>
      </c>
      <c r="C241" s="7" t="s">
        <v>3066</v>
      </c>
      <c r="D241" s="7" t="s">
        <v>1387</v>
      </c>
      <c r="E241" s="7" t="s">
        <v>3864</v>
      </c>
      <c r="F241" s="7" t="s">
        <v>3865</v>
      </c>
      <c r="G241" s="7" t="s">
        <v>3866</v>
      </c>
      <c r="H241" s="7">
        <v>9.2</v>
      </c>
      <c r="I241" s="7" t="s">
        <v>3558</v>
      </c>
      <c r="J241" s="7" t="s">
        <v>3559</v>
      </c>
      <c r="K241" s="28">
        <v>46222.0</v>
      </c>
      <c r="L241" s="7" t="b">
        <v>1</v>
      </c>
    </row>
    <row r="242">
      <c r="A242" s="7" t="s">
        <v>3868</v>
      </c>
      <c r="B242" s="7" t="s">
        <v>3069</v>
      </c>
      <c r="C242" s="7" t="s">
        <v>3070</v>
      </c>
      <c r="D242" s="7" t="s">
        <v>1387</v>
      </c>
      <c r="E242" s="7" t="s">
        <v>3864</v>
      </c>
      <c r="F242" s="7" t="s">
        <v>3865</v>
      </c>
      <c r="G242" s="7" t="s">
        <v>3866</v>
      </c>
      <c r="H242" s="7">
        <v>9.2</v>
      </c>
      <c r="I242" s="7" t="s">
        <v>3558</v>
      </c>
      <c r="J242" s="7" t="s">
        <v>3559</v>
      </c>
      <c r="K242" s="28">
        <v>46222.0</v>
      </c>
      <c r="L242" s="7" t="b">
        <v>1</v>
      </c>
    </row>
    <row r="243">
      <c r="A243" s="7" t="s">
        <v>3869</v>
      </c>
      <c r="B243" s="7" t="s">
        <v>3073</v>
      </c>
      <c r="C243" s="7" t="s">
        <v>3074</v>
      </c>
      <c r="D243" s="7" t="s">
        <v>1387</v>
      </c>
      <c r="E243" s="7" t="s">
        <v>3864</v>
      </c>
      <c r="F243" s="7" t="s">
        <v>3865</v>
      </c>
      <c r="G243" s="7" t="s">
        <v>3866</v>
      </c>
      <c r="H243" s="7" t="s">
        <v>3076</v>
      </c>
      <c r="I243" s="7" t="s">
        <v>3558</v>
      </c>
      <c r="J243" s="7" t="s">
        <v>3559</v>
      </c>
      <c r="K243" s="28">
        <v>46222.0</v>
      </c>
      <c r="L243" s="7" t="b">
        <v>1</v>
      </c>
    </row>
    <row r="244">
      <c r="A244" s="7" t="s">
        <v>3870</v>
      </c>
      <c r="B244" s="7" t="s">
        <v>3078</v>
      </c>
      <c r="C244" s="7" t="s">
        <v>3079</v>
      </c>
      <c r="D244" s="7" t="s">
        <v>1387</v>
      </c>
      <c r="E244" s="7" t="s">
        <v>3864</v>
      </c>
      <c r="F244" s="7" t="s">
        <v>3865</v>
      </c>
      <c r="G244" s="7" t="s">
        <v>3866</v>
      </c>
      <c r="H244" s="7">
        <v>9.2</v>
      </c>
      <c r="I244" s="7" t="s">
        <v>3558</v>
      </c>
      <c r="J244" s="7" t="s">
        <v>3559</v>
      </c>
      <c r="K244" s="28">
        <v>46222.0</v>
      </c>
      <c r="L244" s="7" t="b">
        <v>1</v>
      </c>
    </row>
    <row r="245">
      <c r="A245" s="7" t="s">
        <v>3871</v>
      </c>
      <c r="B245" s="7" t="s">
        <v>3082</v>
      </c>
      <c r="C245" s="7" t="s">
        <v>3083</v>
      </c>
      <c r="D245" s="7" t="s">
        <v>1387</v>
      </c>
      <c r="E245" s="7" t="s">
        <v>3864</v>
      </c>
      <c r="F245" s="7" t="s">
        <v>3865</v>
      </c>
      <c r="G245" s="7" t="s">
        <v>3866</v>
      </c>
      <c r="H245" s="7" t="s">
        <v>3085</v>
      </c>
      <c r="I245" s="7" t="s">
        <v>3558</v>
      </c>
      <c r="J245" s="7" t="s">
        <v>3559</v>
      </c>
      <c r="K245" s="28">
        <v>46222.0</v>
      </c>
      <c r="L245" s="7" t="b">
        <v>1</v>
      </c>
    </row>
    <row r="246">
      <c r="A246" s="7" t="s">
        <v>3872</v>
      </c>
      <c r="B246" s="7" t="s">
        <v>3086</v>
      </c>
      <c r="C246" s="7" t="s">
        <v>3087</v>
      </c>
      <c r="D246" s="7" t="s">
        <v>1387</v>
      </c>
      <c r="E246" s="7" t="s">
        <v>3864</v>
      </c>
      <c r="F246" s="7" t="s">
        <v>3865</v>
      </c>
      <c r="G246" s="7" t="s">
        <v>3866</v>
      </c>
      <c r="H246" s="7" t="s">
        <v>3089</v>
      </c>
      <c r="I246" s="7" t="s">
        <v>3558</v>
      </c>
      <c r="J246" s="7" t="s">
        <v>3559</v>
      </c>
      <c r="K246" s="28">
        <v>46222.0</v>
      </c>
      <c r="L246" s="7" t="b">
        <v>1</v>
      </c>
    </row>
    <row r="247">
      <c r="A247" s="7" t="s">
        <v>3873</v>
      </c>
      <c r="B247" s="7" t="s">
        <v>3091</v>
      </c>
      <c r="C247" s="7" t="s">
        <v>3092</v>
      </c>
      <c r="D247" s="7" t="s">
        <v>1387</v>
      </c>
      <c r="E247" s="7" t="s">
        <v>3864</v>
      </c>
      <c r="F247" s="7" t="s">
        <v>3865</v>
      </c>
      <c r="G247" s="7" t="s">
        <v>3866</v>
      </c>
      <c r="H247" s="7">
        <v>10.2</v>
      </c>
      <c r="I247" s="7" t="s">
        <v>3558</v>
      </c>
      <c r="J247" s="7" t="s">
        <v>3559</v>
      </c>
      <c r="K247" s="28">
        <v>46222.0</v>
      </c>
      <c r="L247" s="7" t="b">
        <v>1</v>
      </c>
    </row>
    <row r="248">
      <c r="A248" s="7" t="s">
        <v>3874</v>
      </c>
      <c r="B248" s="7" t="s">
        <v>3095</v>
      </c>
      <c r="C248" s="7" t="s">
        <v>3096</v>
      </c>
      <c r="D248" s="7" t="s">
        <v>1387</v>
      </c>
      <c r="E248" s="7" t="s">
        <v>3864</v>
      </c>
      <c r="F248" s="7" t="s">
        <v>3865</v>
      </c>
      <c r="G248" s="7" t="s">
        <v>3866</v>
      </c>
      <c r="H248" s="7">
        <v>10.2</v>
      </c>
      <c r="I248" s="7" t="s">
        <v>3558</v>
      </c>
      <c r="J248" s="7" t="s">
        <v>3559</v>
      </c>
      <c r="K248" s="28">
        <v>46222.0</v>
      </c>
      <c r="L248" s="7" t="b">
        <v>1</v>
      </c>
    </row>
    <row r="249">
      <c r="A249" s="7" t="s">
        <v>3875</v>
      </c>
      <c r="B249" s="7" t="s">
        <v>3099</v>
      </c>
      <c r="C249" s="7" t="s">
        <v>3100</v>
      </c>
      <c r="D249" s="7" t="s">
        <v>1387</v>
      </c>
      <c r="E249" s="7" t="s">
        <v>3864</v>
      </c>
      <c r="F249" s="7" t="s">
        <v>3865</v>
      </c>
      <c r="G249" s="7" t="s">
        <v>3866</v>
      </c>
      <c r="H249" s="7" t="s">
        <v>3102</v>
      </c>
      <c r="I249" s="7" t="s">
        <v>3558</v>
      </c>
      <c r="J249" s="7" t="s">
        <v>3559</v>
      </c>
      <c r="K249" s="28">
        <v>46222.0</v>
      </c>
      <c r="L249" s="7" t="b">
        <v>1</v>
      </c>
    </row>
    <row r="250">
      <c r="A250" s="7" t="s">
        <v>3876</v>
      </c>
      <c r="B250" s="7" t="s">
        <v>3103</v>
      </c>
      <c r="C250" s="7" t="s">
        <v>3104</v>
      </c>
      <c r="D250" s="7" t="s">
        <v>1387</v>
      </c>
      <c r="E250" s="7" t="s">
        <v>3864</v>
      </c>
      <c r="F250" s="7" t="s">
        <v>3865</v>
      </c>
      <c r="G250" s="7" t="s">
        <v>3866</v>
      </c>
      <c r="H250" s="7" t="s">
        <v>1701</v>
      </c>
      <c r="I250" s="7" t="s">
        <v>3558</v>
      </c>
      <c r="J250" s="7" t="s">
        <v>3559</v>
      </c>
      <c r="K250" s="28">
        <v>46222.0</v>
      </c>
      <c r="L250" s="7" t="b">
        <v>1</v>
      </c>
    </row>
    <row r="251">
      <c r="A251" s="7" t="s">
        <v>3877</v>
      </c>
      <c r="B251" s="7" t="s">
        <v>3106</v>
      </c>
      <c r="C251" s="7" t="s">
        <v>3107</v>
      </c>
      <c r="D251" s="7" t="s">
        <v>1387</v>
      </c>
      <c r="E251" s="7" t="s">
        <v>3864</v>
      </c>
      <c r="F251" s="7" t="s">
        <v>3865</v>
      </c>
      <c r="G251" s="7" t="s">
        <v>3866</v>
      </c>
      <c r="H251" s="7" t="s">
        <v>2158</v>
      </c>
      <c r="I251" s="7" t="s">
        <v>3558</v>
      </c>
      <c r="J251" s="7" t="s">
        <v>3559</v>
      </c>
      <c r="K251" s="28">
        <v>46222.0</v>
      </c>
      <c r="L251" s="7" t="b">
        <v>1</v>
      </c>
    </row>
  </sheetData>
  <autoFilter ref="$A$1:$L$251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>
      <c r="A1" s="20" t="s">
        <v>772</v>
      </c>
      <c r="B1" s="20" t="s">
        <v>3878</v>
      </c>
      <c r="C1" s="20" t="s">
        <v>3879</v>
      </c>
      <c r="D1" s="20" t="s">
        <v>3880</v>
      </c>
      <c r="E1" s="20" t="s">
        <v>3881</v>
      </c>
      <c r="F1" s="20" t="s">
        <v>3882</v>
      </c>
      <c r="G1" s="20" t="s">
        <v>3883</v>
      </c>
      <c r="H1" s="20" t="s">
        <v>3884</v>
      </c>
      <c r="I1" s="20" t="s">
        <v>368</v>
      </c>
      <c r="J1" s="20" t="s">
        <v>369</v>
      </c>
    </row>
    <row r="2">
      <c r="A2" s="9" t="s">
        <v>3885</v>
      </c>
      <c r="B2" s="9" t="s">
        <v>383</v>
      </c>
      <c r="C2" s="9" t="s">
        <v>3886</v>
      </c>
      <c r="D2" s="9" t="s">
        <v>3887</v>
      </c>
      <c r="E2" s="9" t="s">
        <v>323</v>
      </c>
      <c r="F2" s="19" t="s">
        <v>234</v>
      </c>
      <c r="G2" s="9" t="s">
        <v>308</v>
      </c>
      <c r="H2" s="19" t="s">
        <v>234</v>
      </c>
      <c r="I2" s="9">
        <v>10.0</v>
      </c>
      <c r="J2" s="9" t="b">
        <v>1</v>
      </c>
    </row>
    <row r="3">
      <c r="A3" s="9" t="s">
        <v>3888</v>
      </c>
      <c r="B3" s="9" t="s">
        <v>3889</v>
      </c>
      <c r="C3" s="9" t="s">
        <v>372</v>
      </c>
      <c r="D3" s="9" t="s">
        <v>3890</v>
      </c>
      <c r="E3" s="9" t="s">
        <v>323</v>
      </c>
      <c r="F3" s="19" t="s">
        <v>234</v>
      </c>
      <c r="G3" s="9" t="s">
        <v>308</v>
      </c>
      <c r="H3" s="19" t="s">
        <v>234</v>
      </c>
      <c r="I3" s="9">
        <v>20.0</v>
      </c>
      <c r="J3" s="9" t="b">
        <v>1</v>
      </c>
    </row>
    <row r="4">
      <c r="A4" s="9" t="s">
        <v>3891</v>
      </c>
      <c r="B4" s="9" t="s">
        <v>3892</v>
      </c>
      <c r="C4" s="9" t="s">
        <v>3893</v>
      </c>
      <c r="D4" s="9" t="s">
        <v>3894</v>
      </c>
      <c r="E4" s="9" t="s">
        <v>323</v>
      </c>
      <c r="F4" s="19" t="s">
        <v>234</v>
      </c>
      <c r="G4" s="9" t="s">
        <v>308</v>
      </c>
      <c r="H4" s="19" t="s">
        <v>234</v>
      </c>
      <c r="I4" s="9">
        <v>30.0</v>
      </c>
      <c r="J4" s="9" t="b">
        <v>1</v>
      </c>
    </row>
    <row r="5">
      <c r="A5" s="9" t="s">
        <v>3895</v>
      </c>
      <c r="B5" s="9" t="s">
        <v>3896</v>
      </c>
      <c r="C5" s="9" t="s">
        <v>3897</v>
      </c>
      <c r="D5" s="9" t="s">
        <v>3898</v>
      </c>
      <c r="E5" s="9" t="s">
        <v>323</v>
      </c>
      <c r="F5" s="19" t="s">
        <v>234</v>
      </c>
      <c r="G5" s="9" t="s">
        <v>308</v>
      </c>
      <c r="H5" s="19" t="s">
        <v>234</v>
      </c>
      <c r="I5" s="9">
        <v>40.0</v>
      </c>
      <c r="J5" s="9" t="b">
        <v>1</v>
      </c>
    </row>
    <row r="6">
      <c r="A6" s="9" t="s">
        <v>3899</v>
      </c>
      <c r="B6" s="9" t="s">
        <v>3900</v>
      </c>
      <c r="C6" s="9" t="s">
        <v>3901</v>
      </c>
      <c r="D6" s="9" t="s">
        <v>3902</v>
      </c>
      <c r="E6" s="9" t="s">
        <v>323</v>
      </c>
      <c r="F6" s="19" t="s">
        <v>234</v>
      </c>
      <c r="G6" s="9" t="s">
        <v>308</v>
      </c>
      <c r="H6" s="19" t="s">
        <v>234</v>
      </c>
      <c r="I6" s="9">
        <v>50.0</v>
      </c>
      <c r="J6" s="9" t="b">
        <v>1</v>
      </c>
    </row>
    <row r="7">
      <c r="A7" s="9" t="s">
        <v>3903</v>
      </c>
      <c r="B7" s="9" t="s">
        <v>3904</v>
      </c>
      <c r="C7" s="9" t="s">
        <v>3905</v>
      </c>
      <c r="D7" s="9" t="s">
        <v>3906</v>
      </c>
      <c r="E7" s="9" t="s">
        <v>323</v>
      </c>
      <c r="F7" s="19" t="s">
        <v>234</v>
      </c>
      <c r="G7" s="9" t="s">
        <v>308</v>
      </c>
      <c r="H7" s="19" t="s">
        <v>234</v>
      </c>
      <c r="I7" s="9">
        <v>60.0</v>
      </c>
      <c r="J7" s="9" t="b">
        <v>1</v>
      </c>
    </row>
    <row r="8">
      <c r="A8" s="9" t="s">
        <v>3907</v>
      </c>
      <c r="B8" s="9" t="s">
        <v>3908</v>
      </c>
      <c r="C8" s="9" t="s">
        <v>3909</v>
      </c>
      <c r="D8" s="9" t="s">
        <v>3910</v>
      </c>
      <c r="E8" s="9" t="s">
        <v>323</v>
      </c>
      <c r="F8" s="19" t="s">
        <v>234</v>
      </c>
      <c r="G8" s="9" t="s">
        <v>308</v>
      </c>
      <c r="H8" s="19" t="s">
        <v>234</v>
      </c>
      <c r="I8" s="9">
        <v>70.0</v>
      </c>
      <c r="J8" s="9" t="b">
        <v>1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>
      <c r="A1" s="20" t="s">
        <v>99</v>
      </c>
      <c r="B1" s="20" t="s">
        <v>3911</v>
      </c>
      <c r="C1" s="20" t="s">
        <v>3912</v>
      </c>
      <c r="D1" s="20" t="s">
        <v>3913</v>
      </c>
      <c r="E1" s="20" t="s">
        <v>3914</v>
      </c>
      <c r="F1" s="20" t="s">
        <v>3915</v>
      </c>
      <c r="G1" s="20" t="s">
        <v>211</v>
      </c>
      <c r="H1" s="20" t="s">
        <v>368</v>
      </c>
      <c r="I1" s="20" t="s">
        <v>369</v>
      </c>
      <c r="J1" s="20" t="s">
        <v>349</v>
      </c>
    </row>
    <row r="2">
      <c r="A2" s="9" t="s">
        <v>3916</v>
      </c>
      <c r="B2" s="9" t="s">
        <v>3917</v>
      </c>
      <c r="C2" s="9" t="s">
        <v>471</v>
      </c>
      <c r="D2" s="9" t="s">
        <v>3918</v>
      </c>
      <c r="E2" s="9" t="s">
        <v>3919</v>
      </c>
      <c r="F2" s="9" t="s">
        <v>3920</v>
      </c>
      <c r="G2" s="9" t="b">
        <v>1</v>
      </c>
      <c r="H2" s="9">
        <v>10.0</v>
      </c>
      <c r="I2" s="9" t="b">
        <v>1</v>
      </c>
      <c r="J2" s="9" t="s">
        <v>3921</v>
      </c>
    </row>
    <row r="3">
      <c r="A3" s="9" t="s">
        <v>3922</v>
      </c>
      <c r="B3" s="9" t="s">
        <v>3917</v>
      </c>
      <c r="C3" s="9" t="s">
        <v>3916</v>
      </c>
      <c r="D3" s="9" t="s">
        <v>3923</v>
      </c>
      <c r="E3" s="9" t="s">
        <v>3924</v>
      </c>
      <c r="F3" s="9" t="s">
        <v>3925</v>
      </c>
      <c r="G3" s="9" t="b">
        <v>1</v>
      </c>
      <c r="H3" s="9">
        <v>20.0</v>
      </c>
      <c r="I3" s="9" t="b">
        <v>1</v>
      </c>
      <c r="J3" s="9" t="s">
        <v>3926</v>
      </c>
    </row>
    <row r="4">
      <c r="A4" s="9" t="s">
        <v>3927</v>
      </c>
      <c r="B4" s="9" t="s">
        <v>3917</v>
      </c>
      <c r="C4" s="9" t="s">
        <v>3922</v>
      </c>
      <c r="D4" s="9" t="s">
        <v>301</v>
      </c>
      <c r="E4" s="9" t="s">
        <v>3928</v>
      </c>
      <c r="F4" s="9" t="s">
        <v>3929</v>
      </c>
      <c r="G4" s="9" t="b">
        <v>1</v>
      </c>
      <c r="H4" s="9">
        <v>30.0</v>
      </c>
      <c r="I4" s="9" t="b">
        <v>1</v>
      </c>
      <c r="J4" s="9" t="s">
        <v>3930</v>
      </c>
    </row>
    <row r="5">
      <c r="A5" s="9" t="s">
        <v>3931</v>
      </c>
      <c r="B5" s="9" t="s">
        <v>3932</v>
      </c>
      <c r="C5" s="9" t="s">
        <v>3927</v>
      </c>
      <c r="D5" s="9" t="s">
        <v>301</v>
      </c>
      <c r="E5" s="9" t="s">
        <v>3933</v>
      </c>
      <c r="F5" s="9" t="s">
        <v>3929</v>
      </c>
      <c r="G5" s="9" t="b">
        <v>1</v>
      </c>
      <c r="H5" s="9">
        <v>40.0</v>
      </c>
      <c r="I5" s="9" t="b">
        <v>1</v>
      </c>
      <c r="J5" s="9" t="s">
        <v>3934</v>
      </c>
    </row>
    <row r="6">
      <c r="A6" s="9" t="s">
        <v>3935</v>
      </c>
      <c r="B6" s="9" t="s">
        <v>3917</v>
      </c>
      <c r="C6" s="9" t="s">
        <v>3927</v>
      </c>
      <c r="D6" s="9" t="s">
        <v>262</v>
      </c>
      <c r="E6" s="9" t="s">
        <v>3936</v>
      </c>
      <c r="F6" s="9" t="s">
        <v>3929</v>
      </c>
      <c r="G6" s="9" t="b">
        <v>1</v>
      </c>
      <c r="H6" s="9">
        <v>50.0</v>
      </c>
      <c r="I6" s="9" t="b">
        <v>1</v>
      </c>
      <c r="J6" s="9" t="s">
        <v>3937</v>
      </c>
    </row>
    <row r="7">
      <c r="A7" s="9" t="s">
        <v>3938</v>
      </c>
      <c r="B7" s="9" t="s">
        <v>3917</v>
      </c>
      <c r="C7" s="9" t="s">
        <v>3927</v>
      </c>
      <c r="D7" s="9" t="s">
        <v>308</v>
      </c>
      <c r="E7" s="9" t="s">
        <v>3939</v>
      </c>
      <c r="F7" s="9" t="s">
        <v>3929</v>
      </c>
      <c r="G7" s="9" t="b">
        <v>1</v>
      </c>
      <c r="H7" s="9">
        <v>60.0</v>
      </c>
      <c r="I7" s="9" t="b">
        <v>1</v>
      </c>
      <c r="J7" s="9" t="s">
        <v>3940</v>
      </c>
    </row>
    <row r="8">
      <c r="A8" s="9" t="s">
        <v>3941</v>
      </c>
      <c r="B8" s="9" t="s">
        <v>3942</v>
      </c>
      <c r="C8" s="9" t="s">
        <v>3931</v>
      </c>
      <c r="D8" s="9" t="s">
        <v>301</v>
      </c>
      <c r="E8" s="9" t="s">
        <v>3943</v>
      </c>
      <c r="F8" s="9" t="s">
        <v>3944</v>
      </c>
      <c r="G8" s="9" t="b">
        <v>1</v>
      </c>
      <c r="H8" s="9">
        <v>70.0</v>
      </c>
      <c r="I8" s="9" t="b">
        <v>1</v>
      </c>
      <c r="J8" s="9" t="s">
        <v>3945</v>
      </c>
    </row>
    <row r="9">
      <c r="A9" s="9" t="s">
        <v>3946</v>
      </c>
      <c r="B9" s="9" t="s">
        <v>3942</v>
      </c>
      <c r="C9" s="9" t="s">
        <v>3931</v>
      </c>
      <c r="D9" s="9" t="s">
        <v>3947</v>
      </c>
      <c r="E9" s="9" t="s">
        <v>3948</v>
      </c>
      <c r="F9" s="9" t="s">
        <v>3949</v>
      </c>
      <c r="G9" s="9" t="b">
        <v>1</v>
      </c>
      <c r="H9" s="9">
        <v>80.0</v>
      </c>
      <c r="I9" s="9" t="b">
        <v>1</v>
      </c>
      <c r="J9" s="9" t="s">
        <v>3950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25"/>
    <col customWidth="1" min="14" max="14" width="40.13"/>
    <col customWidth="1" hidden="1" min="15" max="23" width="18.25"/>
  </cols>
  <sheetData>
    <row r="1">
      <c r="A1" s="29" t="s">
        <v>52</v>
      </c>
      <c r="B1" s="29" t="s">
        <v>126</v>
      </c>
      <c r="C1" s="29" t="s">
        <v>1121</v>
      </c>
      <c r="D1" s="29" t="s">
        <v>1127</v>
      </c>
      <c r="E1" s="29" t="s">
        <v>338</v>
      </c>
      <c r="F1" s="29" t="s">
        <v>1132</v>
      </c>
      <c r="G1" s="29" t="s">
        <v>94</v>
      </c>
      <c r="H1" s="29" t="s">
        <v>3951</v>
      </c>
      <c r="I1" s="29" t="s">
        <v>3952</v>
      </c>
      <c r="J1" s="29" t="s">
        <v>3953</v>
      </c>
      <c r="K1" s="29" t="s">
        <v>3954</v>
      </c>
      <c r="L1" s="29" t="s">
        <v>55</v>
      </c>
      <c r="M1" s="29" t="s">
        <v>213</v>
      </c>
      <c r="N1" s="29" t="s">
        <v>349</v>
      </c>
      <c r="O1" s="30" t="s">
        <v>59</v>
      </c>
      <c r="P1" s="30" t="s">
        <v>60</v>
      </c>
      <c r="Q1" s="30" t="s">
        <v>61</v>
      </c>
      <c r="R1" s="30" t="s">
        <v>62</v>
      </c>
      <c r="S1" s="30" t="s">
        <v>63</v>
      </c>
      <c r="T1" s="30" t="s">
        <v>64</v>
      </c>
      <c r="U1" s="30" t="s">
        <v>65</v>
      </c>
      <c r="V1" s="30" t="s">
        <v>66</v>
      </c>
      <c r="W1" s="30" t="s">
        <v>67</v>
      </c>
    </row>
    <row r="2">
      <c r="A2" s="9" t="s">
        <v>3955</v>
      </c>
      <c r="B2" s="9" t="s">
        <v>3956</v>
      </c>
      <c r="C2" s="9" t="s">
        <v>3957</v>
      </c>
      <c r="D2" s="9" t="s">
        <v>3958</v>
      </c>
      <c r="E2" s="9" t="s">
        <v>1382</v>
      </c>
      <c r="F2" s="9" t="s">
        <v>375</v>
      </c>
      <c r="G2" s="9" t="s">
        <v>3264</v>
      </c>
      <c r="H2" s="9" t="b">
        <v>1</v>
      </c>
      <c r="I2" s="9">
        <v>0.0</v>
      </c>
      <c r="J2" s="9" t="s">
        <v>471</v>
      </c>
      <c r="K2" s="9" t="s">
        <v>471</v>
      </c>
      <c r="L2" s="19" t="s">
        <v>255</v>
      </c>
      <c r="M2" s="19" t="s">
        <v>255</v>
      </c>
      <c r="N2" s="9" t="s">
        <v>3959</v>
      </c>
      <c r="O2" s="9"/>
      <c r="P2" s="9"/>
      <c r="Q2" s="9"/>
      <c r="R2" s="9"/>
      <c r="S2" s="9"/>
      <c r="T2" s="9"/>
      <c r="U2" s="9"/>
      <c r="V2" s="9"/>
      <c r="W2" s="9"/>
    </row>
    <row r="3">
      <c r="A3" s="11" t="s">
        <v>69</v>
      </c>
      <c r="B3" s="11" t="s">
        <v>72</v>
      </c>
      <c r="C3" s="11" t="s">
        <v>3960</v>
      </c>
      <c r="D3" s="11" t="s">
        <v>3961</v>
      </c>
      <c r="E3" s="11" t="s">
        <v>1346</v>
      </c>
      <c r="F3" s="11" t="s">
        <v>791</v>
      </c>
      <c r="G3" s="11" t="s">
        <v>88</v>
      </c>
      <c r="H3" s="11" t="b">
        <v>0</v>
      </c>
      <c r="I3" s="9">
        <v>0.0</v>
      </c>
      <c r="K3" s="13">
        <v>46222.37038150463</v>
      </c>
      <c r="L3" s="12">
        <v>46222.352700868054</v>
      </c>
      <c r="M3" s="12">
        <v>46222.37039733796</v>
      </c>
      <c r="N3" s="11" t="s">
        <v>3962</v>
      </c>
      <c r="O3" s="12">
        <v>46222.35270210648</v>
      </c>
      <c r="P3" s="11" t="s">
        <v>75</v>
      </c>
      <c r="Q3" s="12">
        <v>46222.37039733796</v>
      </c>
      <c r="R3" s="11" t="s">
        <v>72</v>
      </c>
      <c r="S3" s="9">
        <v>7.0</v>
      </c>
    </row>
    <row r="4">
      <c r="A4" s="11" t="s">
        <v>77</v>
      </c>
      <c r="B4" s="11" t="s">
        <v>79</v>
      </c>
      <c r="C4" s="11" t="s">
        <v>3963</v>
      </c>
      <c r="D4" s="11" t="s">
        <v>1379</v>
      </c>
      <c r="E4" s="11" t="s">
        <v>350</v>
      </c>
      <c r="F4" s="11" t="s">
        <v>395</v>
      </c>
      <c r="G4" s="11" t="s">
        <v>88</v>
      </c>
      <c r="H4" s="11" t="b">
        <v>0</v>
      </c>
      <c r="I4" s="9">
        <v>0.0</v>
      </c>
      <c r="K4" s="13">
        <v>46222.382660393516</v>
      </c>
      <c r="L4" s="12">
        <v>46222.36032706019</v>
      </c>
      <c r="M4" s="12">
        <v>46222.38268861111</v>
      </c>
      <c r="O4" s="12">
        <v>46222.36032706019</v>
      </c>
      <c r="P4" s="11" t="s">
        <v>72</v>
      </c>
      <c r="Q4" s="12">
        <v>46222.38268861111</v>
      </c>
      <c r="R4" s="11" t="s">
        <v>79</v>
      </c>
      <c r="S4" s="9">
        <v>4.0</v>
      </c>
    </row>
    <row r="5">
      <c r="A5" s="11" t="s">
        <v>81</v>
      </c>
      <c r="B5" s="11" t="s">
        <v>83</v>
      </c>
      <c r="C5" s="11" t="s">
        <v>3964</v>
      </c>
      <c r="D5" s="11" t="s">
        <v>3965</v>
      </c>
      <c r="E5" s="11" t="s">
        <v>1382</v>
      </c>
      <c r="F5" s="11" t="s">
        <v>385</v>
      </c>
      <c r="G5" s="11" t="s">
        <v>88</v>
      </c>
      <c r="H5" s="11" t="b">
        <v>0</v>
      </c>
      <c r="I5" s="9">
        <v>0.0</v>
      </c>
      <c r="K5" s="13">
        <v>46222.368544212964</v>
      </c>
      <c r="L5" s="12">
        <v>46222.362854374995</v>
      </c>
      <c r="M5" s="12">
        <v>46222.36857194445</v>
      </c>
      <c r="O5" s="12">
        <v>46222.362854374995</v>
      </c>
      <c r="P5" s="11" t="s">
        <v>72</v>
      </c>
      <c r="Q5" s="12">
        <v>46222.36857194445</v>
      </c>
      <c r="R5" s="11" t="s">
        <v>83</v>
      </c>
      <c r="S5" s="9">
        <v>2.0</v>
      </c>
    </row>
  </sheetData>
  <autoFilter ref="$A$1:$U$5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3" max="3" width="30.13"/>
    <col customWidth="1" min="4" max="4" width="50.13"/>
    <col customWidth="1" min="5" max="5" width="28.88"/>
    <col customWidth="1" min="6" max="6" width="47.63"/>
    <col customWidth="1" min="7" max="7" width="22.63"/>
    <col customWidth="1" min="8" max="8" width="27.63"/>
    <col customWidth="1" min="9" max="9" width="23.88"/>
    <col customWidth="1" min="10" max="12" width="12.63"/>
    <col customWidth="1" min="13" max="13" width="18.88"/>
    <col customWidth="1" min="14" max="14" width="37.63"/>
  </cols>
  <sheetData>
    <row r="1" ht="27.0" customHeight="1">
      <c r="A1" s="20" t="s">
        <v>818</v>
      </c>
      <c r="B1" s="20" t="s">
        <v>3549</v>
      </c>
      <c r="C1" s="20" t="s">
        <v>3550</v>
      </c>
      <c r="D1" s="20" t="s">
        <v>3966</v>
      </c>
      <c r="E1" s="20" t="s">
        <v>3551</v>
      </c>
      <c r="F1" s="20" t="s">
        <v>3967</v>
      </c>
      <c r="G1" s="20" t="s">
        <v>3968</v>
      </c>
      <c r="H1" s="20" t="s">
        <v>3969</v>
      </c>
      <c r="I1" s="20" t="s">
        <v>3970</v>
      </c>
      <c r="J1" s="20" t="s">
        <v>777</v>
      </c>
      <c r="K1" s="20" t="s">
        <v>1344</v>
      </c>
      <c r="L1" s="20" t="s">
        <v>369</v>
      </c>
      <c r="M1" s="20" t="s">
        <v>3971</v>
      </c>
      <c r="N1" s="20" t="s">
        <v>349</v>
      </c>
    </row>
    <row r="2">
      <c r="A2" s="18" t="s">
        <v>1939</v>
      </c>
      <c r="B2" s="18" t="s">
        <v>3555</v>
      </c>
      <c r="C2" s="18" t="s">
        <v>3556</v>
      </c>
      <c r="D2" s="18" t="s">
        <v>3972</v>
      </c>
      <c r="E2" s="18" t="s">
        <v>3557</v>
      </c>
      <c r="F2" s="18" t="s">
        <v>3973</v>
      </c>
      <c r="G2" s="18" t="s">
        <v>3974</v>
      </c>
      <c r="H2" s="18" t="s">
        <v>3975</v>
      </c>
      <c r="I2" s="18" t="s">
        <v>332</v>
      </c>
      <c r="J2" s="18" t="s">
        <v>329</v>
      </c>
      <c r="K2" s="17" t="s">
        <v>255</v>
      </c>
      <c r="L2" s="18" t="b">
        <v>1</v>
      </c>
      <c r="M2" s="18" t="s">
        <v>1807</v>
      </c>
      <c r="N2" s="18" t="s">
        <v>3976</v>
      </c>
    </row>
    <row r="3">
      <c r="A3" s="18" t="s">
        <v>1998</v>
      </c>
      <c r="B3" s="18" t="s">
        <v>3569</v>
      </c>
      <c r="C3" s="18" t="s">
        <v>3570</v>
      </c>
      <c r="D3" s="18" t="s">
        <v>3977</v>
      </c>
      <c r="E3" s="18" t="s">
        <v>3571</v>
      </c>
      <c r="F3" s="18" t="s">
        <v>3978</v>
      </c>
      <c r="G3" s="18" t="s">
        <v>3979</v>
      </c>
      <c r="H3" s="18" t="s">
        <v>3980</v>
      </c>
      <c r="I3" s="18" t="s">
        <v>332</v>
      </c>
      <c r="J3" s="18" t="s">
        <v>329</v>
      </c>
      <c r="K3" s="17" t="s">
        <v>255</v>
      </c>
      <c r="L3" s="18" t="b">
        <v>1</v>
      </c>
      <c r="M3" s="18" t="s">
        <v>1807</v>
      </c>
      <c r="N3" s="18" t="s">
        <v>3981</v>
      </c>
    </row>
    <row r="4">
      <c r="A4" s="18" t="s">
        <v>1483</v>
      </c>
      <c r="B4" s="18" t="s">
        <v>3582</v>
      </c>
      <c r="C4" s="18" t="s">
        <v>3583</v>
      </c>
      <c r="D4" s="18" t="s">
        <v>3982</v>
      </c>
      <c r="E4" s="18" t="s">
        <v>3584</v>
      </c>
      <c r="F4" s="18" t="s">
        <v>3983</v>
      </c>
      <c r="G4" s="18" t="s">
        <v>3984</v>
      </c>
      <c r="H4" s="18" t="s">
        <v>3985</v>
      </c>
      <c r="I4" s="18" t="s">
        <v>332</v>
      </c>
      <c r="J4" s="18" t="s">
        <v>329</v>
      </c>
      <c r="K4" s="17" t="s">
        <v>255</v>
      </c>
      <c r="L4" s="18" t="b">
        <v>1</v>
      </c>
      <c r="M4" s="18" t="s">
        <v>1807</v>
      </c>
      <c r="N4" s="18" t="s">
        <v>3986</v>
      </c>
    </row>
    <row r="5">
      <c r="A5" s="18" t="s">
        <v>1898</v>
      </c>
      <c r="B5" s="18" t="s">
        <v>3593</v>
      </c>
      <c r="C5" s="18" t="s">
        <v>3594</v>
      </c>
      <c r="D5" s="18" t="s">
        <v>3987</v>
      </c>
      <c r="E5" s="18" t="s">
        <v>3595</v>
      </c>
      <c r="F5" s="18" t="s">
        <v>3988</v>
      </c>
      <c r="G5" s="18" t="s">
        <v>3989</v>
      </c>
      <c r="H5" s="18" t="s">
        <v>3990</v>
      </c>
      <c r="I5" s="18" t="s">
        <v>332</v>
      </c>
      <c r="J5" s="18" t="s">
        <v>329</v>
      </c>
      <c r="K5" s="17" t="s">
        <v>255</v>
      </c>
      <c r="L5" s="18" t="b">
        <v>1</v>
      </c>
      <c r="M5" s="18" t="s">
        <v>1807</v>
      </c>
      <c r="N5" s="18" t="s">
        <v>3991</v>
      </c>
    </row>
    <row r="6">
      <c r="A6" s="18" t="s">
        <v>1883</v>
      </c>
      <c r="B6" s="18" t="s">
        <v>3606</v>
      </c>
      <c r="C6" s="18" t="s">
        <v>3607</v>
      </c>
      <c r="D6" s="18" t="s">
        <v>3992</v>
      </c>
      <c r="E6" s="18" t="s">
        <v>3608</v>
      </c>
      <c r="F6" s="18" t="s">
        <v>3993</v>
      </c>
      <c r="G6" s="18" t="s">
        <v>3994</v>
      </c>
      <c r="H6" s="18" t="s">
        <v>3995</v>
      </c>
      <c r="I6" s="18" t="s">
        <v>332</v>
      </c>
      <c r="J6" s="18" t="s">
        <v>329</v>
      </c>
      <c r="K6" s="17" t="s">
        <v>255</v>
      </c>
      <c r="L6" s="18" t="b">
        <v>1</v>
      </c>
      <c r="M6" s="18" t="s">
        <v>1807</v>
      </c>
      <c r="N6" s="18" t="s">
        <v>3996</v>
      </c>
    </row>
    <row r="7">
      <c r="A7" s="18" t="s">
        <v>2209</v>
      </c>
      <c r="B7" s="18" t="s">
        <v>3617</v>
      </c>
      <c r="C7" s="18" t="s">
        <v>3618</v>
      </c>
      <c r="D7" s="18" t="s">
        <v>3997</v>
      </c>
      <c r="E7" s="18" t="s">
        <v>3619</v>
      </c>
      <c r="F7" s="18" t="s">
        <v>3998</v>
      </c>
      <c r="G7" s="18" t="s">
        <v>3999</v>
      </c>
      <c r="H7" s="18" t="s">
        <v>4000</v>
      </c>
      <c r="I7" s="18" t="s">
        <v>332</v>
      </c>
      <c r="J7" s="18" t="s">
        <v>329</v>
      </c>
      <c r="K7" s="17" t="s">
        <v>255</v>
      </c>
      <c r="L7" s="18" t="b">
        <v>1</v>
      </c>
      <c r="M7" s="18" t="s">
        <v>4001</v>
      </c>
      <c r="N7" s="18" t="s">
        <v>4002</v>
      </c>
    </row>
    <row r="8">
      <c r="A8" s="18" t="s">
        <v>2244</v>
      </c>
      <c r="B8" s="18" t="s">
        <v>3626</v>
      </c>
      <c r="C8" s="18" t="s">
        <v>3627</v>
      </c>
      <c r="D8" s="18" t="s">
        <v>4003</v>
      </c>
      <c r="E8" s="18" t="s">
        <v>3628</v>
      </c>
      <c r="F8" s="18" t="s">
        <v>4004</v>
      </c>
      <c r="G8" s="18" t="s">
        <v>4005</v>
      </c>
      <c r="H8" s="18" t="s">
        <v>4006</v>
      </c>
      <c r="I8" s="18" t="s">
        <v>332</v>
      </c>
      <c r="J8" s="18" t="s">
        <v>329</v>
      </c>
      <c r="K8" s="17" t="s">
        <v>255</v>
      </c>
      <c r="L8" s="18" t="b">
        <v>1</v>
      </c>
      <c r="M8" s="18" t="s">
        <v>1807</v>
      </c>
      <c r="N8" s="18" t="s">
        <v>4007</v>
      </c>
    </row>
    <row r="9">
      <c r="A9" s="18" t="s">
        <v>2298</v>
      </c>
      <c r="B9" s="18" t="s">
        <v>3639</v>
      </c>
      <c r="C9" s="18" t="s">
        <v>3640</v>
      </c>
      <c r="D9" s="18" t="s">
        <v>4008</v>
      </c>
      <c r="E9" s="18" t="s">
        <v>3641</v>
      </c>
      <c r="F9" s="18" t="s">
        <v>4009</v>
      </c>
      <c r="G9" s="18" t="s">
        <v>4010</v>
      </c>
      <c r="H9" s="18" t="s">
        <v>4011</v>
      </c>
      <c r="I9" s="18" t="s">
        <v>332</v>
      </c>
      <c r="J9" s="18" t="s">
        <v>329</v>
      </c>
      <c r="K9" s="17" t="s">
        <v>255</v>
      </c>
      <c r="L9" s="18" t="b">
        <v>1</v>
      </c>
      <c r="M9" s="18" t="s">
        <v>1360</v>
      </c>
      <c r="N9" s="18" t="s">
        <v>4012</v>
      </c>
    </row>
    <row r="10">
      <c r="A10" s="18" t="s">
        <v>2336</v>
      </c>
      <c r="B10" s="18" t="s">
        <v>3650</v>
      </c>
      <c r="C10" s="18" t="s">
        <v>3651</v>
      </c>
      <c r="D10" s="18" t="s">
        <v>4013</v>
      </c>
      <c r="E10" s="18" t="s">
        <v>3652</v>
      </c>
      <c r="F10" s="18" t="s">
        <v>4014</v>
      </c>
      <c r="G10" s="18" t="s">
        <v>4015</v>
      </c>
      <c r="H10" s="18" t="s">
        <v>1469</v>
      </c>
      <c r="I10" s="18" t="s">
        <v>332</v>
      </c>
      <c r="J10" s="18" t="s">
        <v>329</v>
      </c>
      <c r="K10" s="17" t="s">
        <v>255</v>
      </c>
      <c r="L10" s="18" t="b">
        <v>1</v>
      </c>
      <c r="M10" s="18" t="s">
        <v>1371</v>
      </c>
      <c r="N10" s="18" t="s">
        <v>4016</v>
      </c>
    </row>
    <row r="11">
      <c r="A11" s="18" t="s">
        <v>2370</v>
      </c>
      <c r="B11" s="18" t="s">
        <v>3661</v>
      </c>
      <c r="C11" s="18" t="s">
        <v>3662</v>
      </c>
      <c r="D11" s="18" t="s">
        <v>4017</v>
      </c>
      <c r="E11" s="18" t="s">
        <v>3663</v>
      </c>
      <c r="F11" s="18" t="s">
        <v>4018</v>
      </c>
      <c r="G11" s="18" t="s">
        <v>4019</v>
      </c>
      <c r="H11" s="18" t="s">
        <v>1377</v>
      </c>
      <c r="I11" s="18" t="s">
        <v>332</v>
      </c>
      <c r="J11" s="18" t="s">
        <v>329</v>
      </c>
      <c r="K11" s="17" t="s">
        <v>255</v>
      </c>
      <c r="L11" s="18" t="b">
        <v>1</v>
      </c>
      <c r="M11" s="18" t="s">
        <v>1480</v>
      </c>
      <c r="N11" s="18" t="s">
        <v>4020</v>
      </c>
    </row>
    <row r="12">
      <c r="A12" s="18" t="s">
        <v>2425</v>
      </c>
      <c r="B12" s="18" t="s">
        <v>3676</v>
      </c>
      <c r="C12" s="18" t="s">
        <v>3677</v>
      </c>
      <c r="D12" s="18" t="s">
        <v>4021</v>
      </c>
      <c r="E12" s="18" t="s">
        <v>3584</v>
      </c>
      <c r="F12" s="18" t="s">
        <v>4022</v>
      </c>
      <c r="G12" s="18" t="s">
        <v>4023</v>
      </c>
      <c r="H12" s="18" t="s">
        <v>1377</v>
      </c>
      <c r="I12" s="18" t="s">
        <v>332</v>
      </c>
      <c r="J12" s="18" t="s">
        <v>329</v>
      </c>
      <c r="K12" s="17" t="s">
        <v>255</v>
      </c>
      <c r="L12" s="18" t="b">
        <v>1</v>
      </c>
      <c r="M12" s="18" t="s">
        <v>4024</v>
      </c>
      <c r="N12" s="18" t="s">
        <v>4025</v>
      </c>
    </row>
    <row r="13">
      <c r="A13" s="18" t="s">
        <v>2468</v>
      </c>
      <c r="B13" s="18" t="s">
        <v>3688</v>
      </c>
      <c r="C13" s="18" t="s">
        <v>3689</v>
      </c>
      <c r="D13" s="18" t="s">
        <v>4026</v>
      </c>
      <c r="E13" s="18" t="s">
        <v>3690</v>
      </c>
      <c r="F13" s="18" t="s">
        <v>4027</v>
      </c>
      <c r="G13" s="18" t="s">
        <v>4028</v>
      </c>
      <c r="H13" s="18" t="s">
        <v>1377</v>
      </c>
      <c r="I13" s="18" t="s">
        <v>332</v>
      </c>
      <c r="J13" s="18" t="s">
        <v>329</v>
      </c>
      <c r="K13" s="17" t="s">
        <v>255</v>
      </c>
      <c r="L13" s="18" t="b">
        <v>1</v>
      </c>
      <c r="M13" s="18" t="s">
        <v>1486</v>
      </c>
      <c r="N13" s="18" t="s">
        <v>4029</v>
      </c>
    </row>
    <row r="14">
      <c r="A14" s="18" t="s">
        <v>2514</v>
      </c>
      <c r="B14" s="18" t="s">
        <v>3701</v>
      </c>
      <c r="C14" s="18" t="s">
        <v>3702</v>
      </c>
      <c r="D14" s="18" t="s">
        <v>4030</v>
      </c>
      <c r="E14" s="18" t="s">
        <v>3703</v>
      </c>
      <c r="F14" s="18" t="s">
        <v>4031</v>
      </c>
      <c r="G14" s="18" t="s">
        <v>4032</v>
      </c>
      <c r="H14" s="18" t="s">
        <v>1377</v>
      </c>
      <c r="I14" s="18" t="s">
        <v>332</v>
      </c>
      <c r="J14" s="18" t="s">
        <v>329</v>
      </c>
      <c r="K14" s="17" t="s">
        <v>255</v>
      </c>
      <c r="L14" s="18" t="b">
        <v>1</v>
      </c>
      <c r="M14" s="18" t="s">
        <v>1489</v>
      </c>
      <c r="N14" s="18" t="s">
        <v>4033</v>
      </c>
    </row>
    <row r="15">
      <c r="A15" s="18" t="s">
        <v>2558</v>
      </c>
      <c r="B15" s="18" t="s">
        <v>3714</v>
      </c>
      <c r="C15" s="18" t="s">
        <v>3715</v>
      </c>
      <c r="D15" s="18" t="s">
        <v>4034</v>
      </c>
      <c r="E15" s="18" t="s">
        <v>3716</v>
      </c>
      <c r="F15" s="18" t="s">
        <v>4035</v>
      </c>
      <c r="G15" s="18" t="s">
        <v>4036</v>
      </c>
      <c r="H15" s="18" t="s">
        <v>1469</v>
      </c>
      <c r="I15" s="18" t="s">
        <v>332</v>
      </c>
      <c r="J15" s="18" t="s">
        <v>329</v>
      </c>
      <c r="K15" s="17" t="s">
        <v>255</v>
      </c>
      <c r="L15" s="18" t="b">
        <v>1</v>
      </c>
      <c r="M15" s="18" t="s">
        <v>4037</v>
      </c>
      <c r="N15" s="18" t="s">
        <v>4038</v>
      </c>
    </row>
    <row r="16">
      <c r="A16" s="18" t="s">
        <v>2608</v>
      </c>
      <c r="B16" s="18" t="s">
        <v>3729</v>
      </c>
      <c r="C16" s="18" t="s">
        <v>3730</v>
      </c>
      <c r="D16" s="18" t="s">
        <v>4039</v>
      </c>
      <c r="E16" s="18" t="s">
        <v>3731</v>
      </c>
      <c r="F16" s="18" t="s">
        <v>4040</v>
      </c>
      <c r="G16" s="18" t="s">
        <v>4041</v>
      </c>
      <c r="H16" s="18" t="s">
        <v>1469</v>
      </c>
      <c r="I16" s="18" t="s">
        <v>332</v>
      </c>
      <c r="J16" s="18" t="s">
        <v>329</v>
      </c>
      <c r="K16" s="17" t="s">
        <v>255</v>
      </c>
      <c r="L16" s="18" t="b">
        <v>1</v>
      </c>
      <c r="M16" s="18" t="s">
        <v>4042</v>
      </c>
      <c r="N16" s="18" t="s">
        <v>4043</v>
      </c>
    </row>
    <row r="17">
      <c r="A17" s="18" t="s">
        <v>2660</v>
      </c>
      <c r="B17" s="18" t="s">
        <v>3744</v>
      </c>
      <c r="C17" s="18" t="s">
        <v>3745</v>
      </c>
      <c r="D17" s="18" t="s">
        <v>4044</v>
      </c>
      <c r="E17" s="18" t="s">
        <v>3746</v>
      </c>
      <c r="F17" s="18" t="s">
        <v>4045</v>
      </c>
      <c r="G17" s="18" t="s">
        <v>4046</v>
      </c>
      <c r="H17" s="18" t="s">
        <v>1399</v>
      </c>
      <c r="I17" s="18" t="s">
        <v>332</v>
      </c>
      <c r="J17" s="18" t="s">
        <v>329</v>
      </c>
      <c r="K17" s="17" t="s">
        <v>255</v>
      </c>
      <c r="L17" s="18" t="b">
        <v>1</v>
      </c>
      <c r="M17" s="18" t="s">
        <v>1398</v>
      </c>
      <c r="N17" s="18" t="s">
        <v>4047</v>
      </c>
    </row>
    <row r="18">
      <c r="A18" s="18" t="s">
        <v>2721</v>
      </c>
      <c r="B18" s="18" t="s">
        <v>3761</v>
      </c>
      <c r="C18" s="18" t="s">
        <v>3762</v>
      </c>
      <c r="D18" s="18" t="s">
        <v>4048</v>
      </c>
      <c r="E18" s="18" t="s">
        <v>3763</v>
      </c>
      <c r="F18" s="18" t="s">
        <v>4049</v>
      </c>
      <c r="G18" s="18" t="s">
        <v>4050</v>
      </c>
      <c r="H18" s="18" t="s">
        <v>1394</v>
      </c>
      <c r="I18" s="18" t="s">
        <v>332</v>
      </c>
      <c r="J18" s="18" t="s">
        <v>329</v>
      </c>
      <c r="K18" s="17" t="s">
        <v>255</v>
      </c>
      <c r="L18" s="18" t="b">
        <v>1</v>
      </c>
      <c r="M18" s="18" t="s">
        <v>1393</v>
      </c>
      <c r="N18" s="18" t="s">
        <v>4051</v>
      </c>
    </row>
    <row r="19">
      <c r="A19" s="18" t="s">
        <v>2765</v>
      </c>
      <c r="B19" s="18" t="s">
        <v>3774</v>
      </c>
      <c r="C19" s="18" t="s">
        <v>3775</v>
      </c>
      <c r="D19" s="18" t="s">
        <v>4052</v>
      </c>
      <c r="E19" s="18" t="s">
        <v>3776</v>
      </c>
      <c r="F19" s="18" t="s">
        <v>4053</v>
      </c>
      <c r="G19" s="18" t="s">
        <v>4054</v>
      </c>
      <c r="H19" s="18" t="s">
        <v>1523</v>
      </c>
      <c r="I19" s="18" t="s">
        <v>332</v>
      </c>
      <c r="J19" s="18" t="s">
        <v>329</v>
      </c>
      <c r="K19" s="17" t="s">
        <v>255</v>
      </c>
      <c r="L19" s="18" t="b">
        <v>1</v>
      </c>
      <c r="M19" s="18" t="s">
        <v>1402</v>
      </c>
      <c r="N19" s="18" t="s">
        <v>4055</v>
      </c>
    </row>
    <row r="20">
      <c r="A20" s="18" t="s">
        <v>2808</v>
      </c>
      <c r="B20" s="18" t="s">
        <v>3787</v>
      </c>
      <c r="C20" s="18" t="s">
        <v>3788</v>
      </c>
      <c r="D20" s="18" t="s">
        <v>4056</v>
      </c>
      <c r="E20" s="18" t="s">
        <v>3789</v>
      </c>
      <c r="F20" s="18" t="s">
        <v>4057</v>
      </c>
      <c r="G20" s="18" t="s">
        <v>4058</v>
      </c>
      <c r="H20" s="18" t="s">
        <v>1407</v>
      </c>
      <c r="I20" s="18" t="s">
        <v>332</v>
      </c>
      <c r="J20" s="18" t="s">
        <v>329</v>
      </c>
      <c r="K20" s="17" t="s">
        <v>255</v>
      </c>
      <c r="L20" s="18" t="b">
        <v>1</v>
      </c>
      <c r="M20" s="18" t="s">
        <v>1406</v>
      </c>
      <c r="N20" s="18" t="s">
        <v>4059</v>
      </c>
    </row>
    <row r="21">
      <c r="A21" s="18" t="s">
        <v>2842</v>
      </c>
      <c r="B21" s="18" t="s">
        <v>3798</v>
      </c>
      <c r="C21" s="18" t="s">
        <v>3799</v>
      </c>
      <c r="D21" s="18" t="s">
        <v>4060</v>
      </c>
      <c r="E21" s="18" t="s">
        <v>3800</v>
      </c>
      <c r="F21" s="18" t="s">
        <v>4061</v>
      </c>
      <c r="G21" s="18" t="s">
        <v>4062</v>
      </c>
      <c r="H21" s="18" t="s">
        <v>1411</v>
      </c>
      <c r="I21" s="18" t="s">
        <v>332</v>
      </c>
      <c r="J21" s="18" t="s">
        <v>329</v>
      </c>
      <c r="K21" s="17" t="s">
        <v>255</v>
      </c>
      <c r="L21" s="18" t="b">
        <v>1</v>
      </c>
      <c r="M21" s="18" t="s">
        <v>1410</v>
      </c>
      <c r="N21" s="18" t="s">
        <v>4063</v>
      </c>
    </row>
    <row r="22">
      <c r="A22" s="18" t="s">
        <v>2885</v>
      </c>
      <c r="B22" s="18" t="s">
        <v>3811</v>
      </c>
      <c r="C22" s="18" t="s">
        <v>3812</v>
      </c>
      <c r="D22" s="18" t="s">
        <v>4064</v>
      </c>
      <c r="E22" s="18" t="s">
        <v>3789</v>
      </c>
      <c r="F22" s="18" t="s">
        <v>4065</v>
      </c>
      <c r="G22" s="18" t="s">
        <v>4066</v>
      </c>
      <c r="H22" s="18" t="s">
        <v>1415</v>
      </c>
      <c r="I22" s="18" t="s">
        <v>332</v>
      </c>
      <c r="J22" s="18" t="s">
        <v>329</v>
      </c>
      <c r="K22" s="17" t="s">
        <v>255</v>
      </c>
      <c r="L22" s="18" t="b">
        <v>1</v>
      </c>
      <c r="M22" s="18" t="s">
        <v>1414</v>
      </c>
      <c r="N22" s="18" t="s">
        <v>4067</v>
      </c>
    </row>
    <row r="23">
      <c r="A23" s="18" t="s">
        <v>1379</v>
      </c>
      <c r="B23" s="18" t="s">
        <v>3823</v>
      </c>
      <c r="C23" s="18" t="s">
        <v>3824</v>
      </c>
      <c r="D23" s="18" t="s">
        <v>4068</v>
      </c>
      <c r="E23" s="18" t="s">
        <v>3825</v>
      </c>
      <c r="F23" s="18" t="s">
        <v>4069</v>
      </c>
      <c r="G23" s="18" t="s">
        <v>4070</v>
      </c>
      <c r="H23" s="18" t="s">
        <v>1379</v>
      </c>
      <c r="I23" s="18" t="s">
        <v>332</v>
      </c>
      <c r="J23" s="18" t="s">
        <v>329</v>
      </c>
      <c r="K23" s="17" t="s">
        <v>255</v>
      </c>
      <c r="L23" s="18" t="b">
        <v>1</v>
      </c>
      <c r="M23" s="18" t="s">
        <v>1379</v>
      </c>
      <c r="N23" s="18" t="s">
        <v>4071</v>
      </c>
    </row>
    <row r="24">
      <c r="A24" s="18" t="s">
        <v>1383</v>
      </c>
      <c r="B24" s="18" t="s">
        <v>3836</v>
      </c>
      <c r="C24" s="18" t="s">
        <v>3837</v>
      </c>
      <c r="D24" s="18" t="s">
        <v>4072</v>
      </c>
      <c r="E24" s="18" t="s">
        <v>3838</v>
      </c>
      <c r="F24" s="18" t="s">
        <v>4073</v>
      </c>
      <c r="G24" s="18" t="s">
        <v>4074</v>
      </c>
      <c r="H24" s="18" t="s">
        <v>1383</v>
      </c>
      <c r="I24" s="18" t="s">
        <v>332</v>
      </c>
      <c r="J24" s="18" t="s">
        <v>329</v>
      </c>
      <c r="K24" s="17" t="s">
        <v>255</v>
      </c>
      <c r="L24" s="18" t="b">
        <v>1</v>
      </c>
      <c r="M24" s="18" t="s">
        <v>1383</v>
      </c>
      <c r="N24" s="18" t="s">
        <v>4075</v>
      </c>
    </row>
    <row r="25">
      <c r="A25" s="18" t="s">
        <v>3020</v>
      </c>
      <c r="B25" s="18" t="s">
        <v>3851</v>
      </c>
      <c r="C25" s="18" t="s">
        <v>3852</v>
      </c>
      <c r="D25" s="18" t="s">
        <v>4076</v>
      </c>
      <c r="E25" s="18" t="s">
        <v>3853</v>
      </c>
      <c r="F25" s="18" t="s">
        <v>4077</v>
      </c>
      <c r="G25" s="18" t="s">
        <v>4078</v>
      </c>
      <c r="H25" s="18" t="s">
        <v>4079</v>
      </c>
      <c r="I25" s="18" t="s">
        <v>332</v>
      </c>
      <c r="J25" s="18" t="s">
        <v>329</v>
      </c>
      <c r="K25" s="17" t="s">
        <v>255</v>
      </c>
      <c r="L25" s="18" t="b">
        <v>1</v>
      </c>
      <c r="M25" s="18" t="s">
        <v>1420</v>
      </c>
      <c r="N25" s="18" t="s">
        <v>4080</v>
      </c>
    </row>
    <row r="26">
      <c r="A26" s="18" t="s">
        <v>1387</v>
      </c>
      <c r="B26" s="18" t="s">
        <v>3864</v>
      </c>
      <c r="C26" s="18" t="s">
        <v>3865</v>
      </c>
      <c r="D26" s="18" t="s">
        <v>4081</v>
      </c>
      <c r="E26" s="18" t="s">
        <v>3866</v>
      </c>
      <c r="F26" s="18" t="s">
        <v>4082</v>
      </c>
      <c r="G26" s="18" t="s">
        <v>4083</v>
      </c>
      <c r="H26" s="18" t="s">
        <v>1387</v>
      </c>
      <c r="I26" s="18" t="s">
        <v>332</v>
      </c>
      <c r="J26" s="18" t="s">
        <v>329</v>
      </c>
      <c r="K26" s="17" t="s">
        <v>255</v>
      </c>
      <c r="L26" s="18" t="b">
        <v>1</v>
      </c>
      <c r="M26" s="18" t="s">
        <v>1387</v>
      </c>
      <c r="N26" s="18" t="s">
        <v>4084</v>
      </c>
    </row>
  </sheetData>
  <autoFilter ref="$A$1:$N$26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5.13"/>
    <col customWidth="1" min="3" max="3" width="22.63"/>
    <col customWidth="1" min="4" max="4" width="50.13"/>
    <col customWidth="1" min="5" max="5" width="62.63"/>
    <col customWidth="1" min="6" max="6" width="18.88"/>
    <col customWidth="1" min="7" max="8" width="12.63"/>
    <col customWidth="1" min="9" max="9" width="37.63"/>
  </cols>
  <sheetData>
    <row r="1" ht="27.0" customHeight="1">
      <c r="A1" s="20" t="s">
        <v>1443</v>
      </c>
      <c r="B1" s="20" t="s">
        <v>1340</v>
      </c>
      <c r="C1" s="20" t="s">
        <v>1444</v>
      </c>
      <c r="D1" s="20" t="s">
        <v>1445</v>
      </c>
      <c r="E1" s="20" t="s">
        <v>4085</v>
      </c>
      <c r="F1" s="20" t="s">
        <v>4086</v>
      </c>
      <c r="G1" s="20" t="s">
        <v>1801</v>
      </c>
      <c r="H1" s="20" t="s">
        <v>369</v>
      </c>
      <c r="I1" s="20" t="s">
        <v>349</v>
      </c>
    </row>
    <row r="2">
      <c r="A2" s="7" t="str">
        <f t="array" ref="A2:D43">'13_UNIT_FUNCTIONS'!A2:D43</f>
        <v>F-DIR-01</v>
      </c>
      <c r="B2" s="7" t="s">
        <v>1353</v>
      </c>
      <c r="C2" s="7" t="s">
        <v>1360</v>
      </c>
      <c r="D2" s="7" t="s">
        <v>1449</v>
      </c>
      <c r="E2" s="7" t="str">
        <f t="shared" ref="E2:E43" si="1">IF(A2="","","SI-GOV-01|SI-DOC-01|SI-HR-01|SI-SRV-01|SI-RES-01|SI-EVL-01"&amp;SWITCH(C2,"LEADERSHIP","|SI-PIM-01","COORD_ACADEMIC","|SI-PIM-01|SI-SPMI-01","COORD_GENERAL_FINANCE","|SI-PIM-01|SI-REN-01|SI-KEU-01|SI-SDM-01|SI-ADM-01|SI-BMN-01|SI-PBJ-01","COORD_STUDENT_COOP","|SI-PIM-01|SI-AKM-01|SI-KER-01|SI-KAR-01","ACADEMIC_ADMIN","|SI-AKM-01","PLANNING","|SI-REN-01|SI-PBJ-01","COOPERATION","|SI-KER-01","STUDENT_SERVICE","|SI-AKM-01|SI-KER-01","FINANCE","|SI-KEU-01|SI-PBJ-01","HR","|SI-SDM-01","GENERAL_ADMIN","|SI-ADM-01","ASSET_FACILITY","|SI-BMN-01|SI-PBJ-01","RESEARCH","|SI-P3M-01","COMMUNITY_SERVICE","|SI-P3M-01","QUALITY_ASSURANCE","|SI-SPMI-01","LEARNING_DEVELOPMENT","|SI-SPMI-01","INTERNAL_OVERSIGHT","|SI-SPI-01","FOLLOW_UP_MONITORING","|SI-SPI-01","LIBRARY_SERVICE","|SI-PER-01","IT_SERVICE","|SI-TI-01","IT_MAINTENANCE","|SI-TI-01","EQUIPMENT_MAINTENANCE","|SI-MES-01","LANGUAGE_SERVICE","|SI-BHS-01","CAREER_SERVICE","|SI-KAR-01","ENTREPRENEURSHIP","|SI-KAR-01","COMPETENCY_TEST","|SI-UKM-01","DEPARTMENT_ADMIN","|SI-JUR-01","LAB_FACILITY","|SI-JUR-01",""))</f>
        <v>SI-GOV-01|SI-DOC-01|SI-HR-01|SI-SRV-01|SI-RES-01|SI-EVL-01|SI-PIM-01</v>
      </c>
      <c r="F2" s="7" t="str">
        <f t="shared" ref="F2:F43" si="2">IF(A2="","",SWITCH(C2,"LEADERSHIP","SI-PIM-01","COORD_ACADEMIC","SI-PIM-01","COORD_GENERAL_FINANCE","SI-PIM-01","COORD_STUDENT_COOP","SI-PIM-01","ACADEMIC_ADMIN","SI-AKM-01","PLANNING","SI-REN-01","COOPERATION","SI-KER-01","STUDENT_SERVICE","SI-AKM-01","FINANCE","SI-KEU-01","HR","SI-SDM-01","GENERAL_ADMIN","SI-ADM-01","ASSET_FACILITY","SI-BMN-01","RESEARCH","SI-P3M-01","COMMUNITY_SERVICE","SI-P3M-01","QUALITY_ASSURANCE","SI-SPMI-01","LEARNING_DEVELOPMENT","SI-SPMI-01","INTERNAL_OVERSIGHT","SI-SPI-01","FOLLOW_UP_MONITORING","SI-SPI-01","LIBRARY_SERVICE","SI-PER-01","IT_SERVICE","SI-TI-01","IT_MAINTENANCE","SI-TI-01","EQUIPMENT_MAINTENANCE","SI-MES-01","LANGUAGE_SERVICE","SI-BHS-01","CAREER_SERVICE","SI-KAR-01","ENTREPRENEURSHIP","SI-KAR-01","COMPETENCY_TEST","SI-UKM-01","DEPARTMENT_ADMIN","SI-JUR-01","LAB_FACILITY","SI-JUR-01","SI-GOV-01"))</f>
        <v>SI-PIM-01</v>
      </c>
      <c r="G2" s="7" t="str">
        <f t="array" ref="G2:G43">IF(A2:A43="","","COMPLETE")</f>
        <v>COMPLETE</v>
      </c>
      <c r="H2" s="7" t="b">
        <f t="array" ref="H2:H43">IF(A2:A43="","",TRUE)</f>
        <v>1</v>
      </c>
      <c r="I2" s="7" t="str">
        <f t="array" ref="I2:I43">IF(A2:A43="","","Pemetaan desain aplikasi; standar berstatus rancangan hingga diformalkan Polbeng.")</f>
        <v>Pemetaan desain aplikasi; standar berstatus rancangan hingga diformalkan Polbeng.</v>
      </c>
    </row>
    <row r="3">
      <c r="A3" s="7" t="s">
        <v>1453</v>
      </c>
      <c r="B3" s="7" t="s">
        <v>1358</v>
      </c>
      <c r="C3" s="7" t="s">
        <v>1454</v>
      </c>
      <c r="D3" s="7" t="s">
        <v>1455</v>
      </c>
      <c r="E3" s="7" t="str">
        <f t="shared" si="1"/>
        <v>SI-GOV-01|SI-DOC-01|SI-HR-01|SI-SRV-01|SI-RES-01|SI-EVL-01|SI-PIM-01|SI-SPMI-01</v>
      </c>
      <c r="F3" s="7" t="str">
        <f t="shared" si="2"/>
        <v>SI-PIM-01</v>
      </c>
      <c r="G3" s="7" t="s">
        <v>3558</v>
      </c>
      <c r="H3" s="7" t="b">
        <v>1</v>
      </c>
      <c r="I3" s="7" t="s">
        <v>4087</v>
      </c>
    </row>
    <row r="4">
      <c r="A4" s="7" t="s">
        <v>1457</v>
      </c>
      <c r="B4" s="7" t="s">
        <v>1363</v>
      </c>
      <c r="C4" s="7" t="s">
        <v>1458</v>
      </c>
      <c r="D4" s="7" t="s">
        <v>1459</v>
      </c>
      <c r="E4" s="7" t="str">
        <f t="shared" si="1"/>
        <v>SI-GOV-01|SI-DOC-01|SI-HR-01|SI-SRV-01|SI-RES-01|SI-EVL-01|SI-PIM-01|SI-REN-01|SI-KEU-01|SI-SDM-01|SI-ADM-01|SI-BMN-01|SI-PBJ-01</v>
      </c>
      <c r="F4" s="7" t="str">
        <f t="shared" si="2"/>
        <v>SI-PIM-01</v>
      </c>
      <c r="G4" s="7" t="s">
        <v>3558</v>
      </c>
      <c r="H4" s="7" t="b">
        <v>1</v>
      </c>
      <c r="I4" s="7" t="s">
        <v>4087</v>
      </c>
    </row>
    <row r="5">
      <c r="A5" s="7" t="s">
        <v>1461</v>
      </c>
      <c r="B5" s="7" t="s">
        <v>1367</v>
      </c>
      <c r="C5" s="7" t="s">
        <v>1462</v>
      </c>
      <c r="D5" s="7" t="s">
        <v>1463</v>
      </c>
      <c r="E5" s="7" t="str">
        <f t="shared" si="1"/>
        <v>SI-GOV-01|SI-DOC-01|SI-HR-01|SI-SRV-01|SI-RES-01|SI-EVL-01|SI-PIM-01|SI-AKM-01|SI-KER-01|SI-KAR-01</v>
      </c>
      <c r="F5" s="7" t="str">
        <f t="shared" si="2"/>
        <v>SI-PIM-01</v>
      </c>
      <c r="G5" s="7" t="s">
        <v>3558</v>
      </c>
      <c r="H5" s="7" t="b">
        <v>1</v>
      </c>
      <c r="I5" s="7" t="s">
        <v>4087</v>
      </c>
    </row>
    <row r="6">
      <c r="A6" s="7" t="s">
        <v>1466</v>
      </c>
      <c r="B6" s="7" t="s">
        <v>1371</v>
      </c>
      <c r="C6" s="7" t="s">
        <v>1467</v>
      </c>
      <c r="D6" s="7" t="s">
        <v>1468</v>
      </c>
      <c r="E6" s="7" t="str">
        <f t="shared" si="1"/>
        <v>SI-GOV-01|SI-DOC-01|SI-HR-01|SI-SRV-01|SI-RES-01|SI-EVL-01|SI-AKM-01</v>
      </c>
      <c r="F6" s="7" t="str">
        <f t="shared" si="2"/>
        <v>SI-AKM-01</v>
      </c>
      <c r="G6" s="7" t="s">
        <v>3558</v>
      </c>
      <c r="H6" s="7" t="b">
        <v>1</v>
      </c>
      <c r="I6" s="7" t="s">
        <v>4087</v>
      </c>
    </row>
    <row r="7">
      <c r="A7" s="7" t="s">
        <v>1470</v>
      </c>
      <c r="B7" s="7" t="s">
        <v>1371</v>
      </c>
      <c r="C7" s="7" t="s">
        <v>1471</v>
      </c>
      <c r="D7" s="7" t="s">
        <v>1472</v>
      </c>
      <c r="E7" s="7" t="str">
        <f t="shared" si="1"/>
        <v>SI-GOV-01|SI-DOC-01|SI-HR-01|SI-SRV-01|SI-RES-01|SI-EVL-01|SI-REN-01|SI-PBJ-01</v>
      </c>
      <c r="F7" s="7" t="str">
        <f t="shared" si="2"/>
        <v>SI-REN-01</v>
      </c>
      <c r="G7" s="7" t="s">
        <v>3558</v>
      </c>
      <c r="H7" s="7" t="b">
        <v>1</v>
      </c>
      <c r="I7" s="7" t="s">
        <v>4087</v>
      </c>
    </row>
    <row r="8">
      <c r="A8" s="7" t="s">
        <v>1473</v>
      </c>
      <c r="B8" s="7" t="s">
        <v>1371</v>
      </c>
      <c r="C8" s="7" t="s">
        <v>1474</v>
      </c>
      <c r="D8" s="7" t="s">
        <v>1475</v>
      </c>
      <c r="E8" s="7" t="str">
        <f t="shared" si="1"/>
        <v>SI-GOV-01|SI-DOC-01|SI-HR-01|SI-SRV-01|SI-RES-01|SI-EVL-01|SI-KER-01</v>
      </c>
      <c r="F8" s="7" t="str">
        <f t="shared" si="2"/>
        <v>SI-KER-01</v>
      </c>
      <c r="G8" s="7" t="s">
        <v>3558</v>
      </c>
      <c r="H8" s="7" t="b">
        <v>1</v>
      </c>
      <c r="I8" s="7" t="s">
        <v>4087</v>
      </c>
    </row>
    <row r="9">
      <c r="A9" s="7" t="s">
        <v>1476</v>
      </c>
      <c r="B9" s="7" t="s">
        <v>1371</v>
      </c>
      <c r="C9" s="7" t="s">
        <v>1477</v>
      </c>
      <c r="D9" s="7" t="s">
        <v>1478</v>
      </c>
      <c r="E9" s="7" t="str">
        <f t="shared" si="1"/>
        <v>SI-GOV-01|SI-DOC-01|SI-HR-01|SI-SRV-01|SI-RES-01|SI-EVL-01|SI-AKM-01|SI-KER-01</v>
      </c>
      <c r="F9" s="7" t="str">
        <f t="shared" si="2"/>
        <v>SI-AKM-01</v>
      </c>
      <c r="G9" s="7" t="s">
        <v>3558</v>
      </c>
      <c r="H9" s="7" t="b">
        <v>1</v>
      </c>
      <c r="I9" s="7" t="s">
        <v>4087</v>
      </c>
    </row>
    <row r="10">
      <c r="A10" s="7" t="s">
        <v>1479</v>
      </c>
      <c r="B10" s="7" t="s">
        <v>1376</v>
      </c>
      <c r="C10" s="7" t="s">
        <v>1480</v>
      </c>
      <c r="D10" s="7" t="s">
        <v>1481</v>
      </c>
      <c r="E10" s="7" t="str">
        <f t="shared" si="1"/>
        <v>SI-GOV-01|SI-DOC-01|SI-HR-01|SI-SRV-01|SI-RES-01|SI-EVL-01|SI-KEU-01|SI-PBJ-01</v>
      </c>
      <c r="F10" s="7" t="str">
        <f t="shared" si="2"/>
        <v>SI-KEU-01</v>
      </c>
      <c r="G10" s="7" t="s">
        <v>3558</v>
      </c>
      <c r="H10" s="7" t="b">
        <v>1</v>
      </c>
      <c r="I10" s="7" t="s">
        <v>4087</v>
      </c>
    </row>
    <row r="11">
      <c r="A11" s="7" t="s">
        <v>1482</v>
      </c>
      <c r="B11" s="7" t="s">
        <v>1376</v>
      </c>
      <c r="C11" s="7" t="s">
        <v>1483</v>
      </c>
      <c r="D11" s="7" t="s">
        <v>1484</v>
      </c>
      <c r="E11" s="7" t="str">
        <f t="shared" si="1"/>
        <v>SI-GOV-01|SI-DOC-01|SI-HR-01|SI-SRV-01|SI-RES-01|SI-EVL-01|SI-SDM-01</v>
      </c>
      <c r="F11" s="7" t="str">
        <f t="shared" si="2"/>
        <v>SI-SDM-01</v>
      </c>
      <c r="G11" s="7" t="s">
        <v>3558</v>
      </c>
      <c r="H11" s="7" t="b">
        <v>1</v>
      </c>
      <c r="I11" s="7" t="s">
        <v>4087</v>
      </c>
    </row>
    <row r="12">
      <c r="A12" s="7" t="s">
        <v>1485</v>
      </c>
      <c r="B12" s="7" t="s">
        <v>1376</v>
      </c>
      <c r="C12" s="7" t="s">
        <v>1486</v>
      </c>
      <c r="D12" s="7" t="s">
        <v>1487</v>
      </c>
      <c r="E12" s="7" t="str">
        <f t="shared" si="1"/>
        <v>SI-GOV-01|SI-DOC-01|SI-HR-01|SI-SRV-01|SI-RES-01|SI-EVL-01|SI-ADM-01</v>
      </c>
      <c r="F12" s="7" t="str">
        <f t="shared" si="2"/>
        <v>SI-ADM-01</v>
      </c>
      <c r="G12" s="7" t="s">
        <v>3558</v>
      </c>
      <c r="H12" s="7" t="b">
        <v>1</v>
      </c>
      <c r="I12" s="7" t="s">
        <v>4087</v>
      </c>
    </row>
    <row r="13">
      <c r="A13" s="7" t="s">
        <v>1488</v>
      </c>
      <c r="B13" s="7" t="s">
        <v>1376</v>
      </c>
      <c r="C13" s="7" t="s">
        <v>1489</v>
      </c>
      <c r="D13" s="7" t="s">
        <v>1490</v>
      </c>
      <c r="E13" s="7" t="str">
        <f t="shared" si="1"/>
        <v>SI-GOV-01|SI-DOC-01|SI-HR-01|SI-SRV-01|SI-RES-01|SI-EVL-01|SI-BMN-01|SI-PBJ-01</v>
      </c>
      <c r="F13" s="7" t="str">
        <f t="shared" si="2"/>
        <v>SI-BMN-01</v>
      </c>
      <c r="G13" s="7" t="s">
        <v>3558</v>
      </c>
      <c r="H13" s="7" t="b">
        <v>1</v>
      </c>
      <c r="I13" s="7" t="s">
        <v>4087</v>
      </c>
    </row>
    <row r="14">
      <c r="A14" s="7" t="s">
        <v>1491</v>
      </c>
      <c r="B14" s="7" t="s">
        <v>1379</v>
      </c>
      <c r="C14" s="7" t="s">
        <v>1492</v>
      </c>
      <c r="D14" s="7" t="s">
        <v>1493</v>
      </c>
      <c r="E14" s="7" t="str">
        <f t="shared" si="1"/>
        <v>SI-GOV-01|SI-DOC-01|SI-HR-01|SI-SRV-01|SI-RES-01|SI-EVL-01|SI-P3M-01</v>
      </c>
      <c r="F14" s="7" t="str">
        <f t="shared" si="2"/>
        <v>SI-P3M-01</v>
      </c>
      <c r="G14" s="7" t="s">
        <v>3558</v>
      </c>
      <c r="H14" s="7" t="b">
        <v>1</v>
      </c>
      <c r="I14" s="7" t="s">
        <v>4087</v>
      </c>
    </row>
    <row r="15">
      <c r="A15" s="7" t="s">
        <v>1495</v>
      </c>
      <c r="B15" s="7" t="s">
        <v>1379</v>
      </c>
      <c r="C15" s="7" t="s">
        <v>1496</v>
      </c>
      <c r="D15" s="7" t="s">
        <v>1497</v>
      </c>
      <c r="E15" s="7" t="str">
        <f t="shared" si="1"/>
        <v>SI-GOV-01|SI-DOC-01|SI-HR-01|SI-SRV-01|SI-RES-01|SI-EVL-01|SI-P3M-01</v>
      </c>
      <c r="F15" s="7" t="str">
        <f t="shared" si="2"/>
        <v>SI-P3M-01</v>
      </c>
      <c r="G15" s="7" t="s">
        <v>3558</v>
      </c>
      <c r="H15" s="7" t="b">
        <v>1</v>
      </c>
      <c r="I15" s="7" t="s">
        <v>4087</v>
      </c>
    </row>
    <row r="16">
      <c r="A16" s="7" t="s">
        <v>1498</v>
      </c>
      <c r="B16" s="7" t="s">
        <v>1383</v>
      </c>
      <c r="C16" s="7" t="s">
        <v>1499</v>
      </c>
      <c r="D16" s="7" t="s">
        <v>1500</v>
      </c>
      <c r="E16" s="7" t="str">
        <f t="shared" si="1"/>
        <v>SI-GOV-01|SI-DOC-01|SI-HR-01|SI-SRV-01|SI-RES-01|SI-EVL-01|SI-SPMI-01</v>
      </c>
      <c r="F16" s="7" t="str">
        <f t="shared" si="2"/>
        <v>SI-SPMI-01</v>
      </c>
      <c r="G16" s="7" t="s">
        <v>3558</v>
      </c>
      <c r="H16" s="7" t="b">
        <v>1</v>
      </c>
      <c r="I16" s="7" t="s">
        <v>4087</v>
      </c>
    </row>
    <row r="17">
      <c r="A17" s="7" t="s">
        <v>1502</v>
      </c>
      <c r="B17" s="7" t="s">
        <v>1383</v>
      </c>
      <c r="C17" s="7" t="s">
        <v>1503</v>
      </c>
      <c r="D17" s="7" t="s">
        <v>1504</v>
      </c>
      <c r="E17" s="7" t="str">
        <f t="shared" si="1"/>
        <v>SI-GOV-01|SI-DOC-01|SI-HR-01|SI-SRV-01|SI-RES-01|SI-EVL-01|SI-SPMI-01</v>
      </c>
      <c r="F17" s="7" t="str">
        <f t="shared" si="2"/>
        <v>SI-SPMI-01</v>
      </c>
      <c r="G17" s="7" t="s">
        <v>3558</v>
      </c>
      <c r="H17" s="7" t="b">
        <v>1</v>
      </c>
      <c r="I17" s="7" t="s">
        <v>4087</v>
      </c>
    </row>
    <row r="18">
      <c r="A18" s="7" t="s">
        <v>1505</v>
      </c>
      <c r="B18" s="7" t="s">
        <v>1387</v>
      </c>
      <c r="C18" s="7" t="s">
        <v>1506</v>
      </c>
      <c r="D18" s="7" t="s">
        <v>1507</v>
      </c>
      <c r="E18" s="7" t="str">
        <f t="shared" si="1"/>
        <v>SI-GOV-01|SI-DOC-01|SI-HR-01|SI-SRV-01|SI-RES-01|SI-EVL-01|SI-SPI-01</v>
      </c>
      <c r="F18" s="7" t="str">
        <f t="shared" si="2"/>
        <v>SI-SPI-01</v>
      </c>
      <c r="G18" s="7" t="s">
        <v>3558</v>
      </c>
      <c r="H18" s="7" t="b">
        <v>1</v>
      </c>
      <c r="I18" s="7" t="s">
        <v>4087</v>
      </c>
    </row>
    <row r="19">
      <c r="A19" s="7" t="s">
        <v>1508</v>
      </c>
      <c r="B19" s="7" t="s">
        <v>1387</v>
      </c>
      <c r="C19" s="7" t="s">
        <v>1509</v>
      </c>
      <c r="D19" s="7" t="s">
        <v>1510</v>
      </c>
      <c r="E19" s="7" t="str">
        <f t="shared" si="1"/>
        <v>SI-GOV-01|SI-DOC-01|SI-HR-01|SI-SRV-01|SI-RES-01|SI-EVL-01|SI-SPI-01</v>
      </c>
      <c r="F19" s="7" t="str">
        <f t="shared" si="2"/>
        <v>SI-SPI-01</v>
      </c>
      <c r="G19" s="7" t="s">
        <v>3558</v>
      </c>
      <c r="H19" s="7" t="b">
        <v>1</v>
      </c>
      <c r="I19" s="7" t="s">
        <v>4087</v>
      </c>
    </row>
    <row r="20">
      <c r="A20" s="7" t="s">
        <v>1511</v>
      </c>
      <c r="B20" s="7" t="s">
        <v>1393</v>
      </c>
      <c r="C20" s="7" t="s">
        <v>1512</v>
      </c>
      <c r="D20" s="7" t="s">
        <v>1513</v>
      </c>
      <c r="E20" s="7" t="str">
        <f t="shared" si="1"/>
        <v>SI-GOV-01|SI-DOC-01|SI-HR-01|SI-SRV-01|SI-RES-01|SI-EVL-01|SI-PER-01</v>
      </c>
      <c r="F20" s="7" t="str">
        <f t="shared" si="2"/>
        <v>SI-PER-01</v>
      </c>
      <c r="G20" s="7" t="s">
        <v>3558</v>
      </c>
      <c r="H20" s="7" t="b">
        <v>1</v>
      </c>
      <c r="I20" s="7" t="s">
        <v>4087</v>
      </c>
    </row>
    <row r="21">
      <c r="A21" s="7" t="s">
        <v>1514</v>
      </c>
      <c r="B21" s="7" t="s">
        <v>1398</v>
      </c>
      <c r="C21" s="7" t="s">
        <v>1515</v>
      </c>
      <c r="D21" s="7" t="s">
        <v>1516</v>
      </c>
      <c r="E21" s="7" t="str">
        <f t="shared" si="1"/>
        <v>SI-GOV-01|SI-DOC-01|SI-HR-01|SI-SRV-01|SI-RES-01|SI-EVL-01|SI-TI-01</v>
      </c>
      <c r="F21" s="7" t="str">
        <f t="shared" si="2"/>
        <v>SI-TI-01</v>
      </c>
      <c r="G21" s="7" t="s">
        <v>3558</v>
      </c>
      <c r="H21" s="7" t="b">
        <v>1</v>
      </c>
      <c r="I21" s="7" t="s">
        <v>4087</v>
      </c>
    </row>
    <row r="22">
      <c r="A22" s="7" t="s">
        <v>1517</v>
      </c>
      <c r="B22" s="7" t="s">
        <v>1398</v>
      </c>
      <c r="C22" s="7" t="s">
        <v>1518</v>
      </c>
      <c r="D22" s="7" t="s">
        <v>1519</v>
      </c>
      <c r="E22" s="7" t="str">
        <f t="shared" si="1"/>
        <v>SI-GOV-01|SI-DOC-01|SI-HR-01|SI-SRV-01|SI-RES-01|SI-EVL-01|SI-TI-01</v>
      </c>
      <c r="F22" s="7" t="str">
        <f t="shared" si="2"/>
        <v>SI-TI-01</v>
      </c>
      <c r="G22" s="7" t="s">
        <v>3558</v>
      </c>
      <c r="H22" s="7" t="b">
        <v>1</v>
      </c>
      <c r="I22" s="7" t="s">
        <v>4087</v>
      </c>
    </row>
    <row r="23">
      <c r="A23" s="7" t="s">
        <v>1520</v>
      </c>
      <c r="B23" s="7" t="s">
        <v>1402</v>
      </c>
      <c r="C23" s="7" t="s">
        <v>1521</v>
      </c>
      <c r="D23" s="7" t="s">
        <v>1522</v>
      </c>
      <c r="E23" s="7" t="str">
        <f t="shared" si="1"/>
        <v>SI-GOV-01|SI-DOC-01|SI-HR-01|SI-SRV-01|SI-RES-01|SI-EVL-01|SI-MES-01</v>
      </c>
      <c r="F23" s="7" t="str">
        <f t="shared" si="2"/>
        <v>SI-MES-01</v>
      </c>
      <c r="G23" s="7" t="s">
        <v>3558</v>
      </c>
      <c r="H23" s="7" t="b">
        <v>1</v>
      </c>
      <c r="I23" s="7" t="s">
        <v>4087</v>
      </c>
    </row>
    <row r="24">
      <c r="A24" s="7" t="s">
        <v>1524</v>
      </c>
      <c r="B24" s="7" t="s">
        <v>1406</v>
      </c>
      <c r="C24" s="7" t="s">
        <v>1525</v>
      </c>
      <c r="D24" s="7" t="s">
        <v>1526</v>
      </c>
      <c r="E24" s="7" t="str">
        <f t="shared" si="1"/>
        <v>SI-GOV-01|SI-DOC-01|SI-HR-01|SI-SRV-01|SI-RES-01|SI-EVL-01|SI-BHS-01</v>
      </c>
      <c r="F24" s="7" t="str">
        <f t="shared" si="2"/>
        <v>SI-BHS-01</v>
      </c>
      <c r="G24" s="7" t="s">
        <v>3558</v>
      </c>
      <c r="H24" s="7" t="b">
        <v>1</v>
      </c>
      <c r="I24" s="7" t="s">
        <v>4087</v>
      </c>
    </row>
    <row r="25">
      <c r="A25" s="7" t="s">
        <v>1527</v>
      </c>
      <c r="B25" s="7" t="s">
        <v>1410</v>
      </c>
      <c r="C25" s="7" t="s">
        <v>1528</v>
      </c>
      <c r="D25" s="7" t="s">
        <v>1529</v>
      </c>
      <c r="E25" s="7" t="str">
        <f t="shared" si="1"/>
        <v>SI-GOV-01|SI-DOC-01|SI-HR-01|SI-SRV-01|SI-RES-01|SI-EVL-01|SI-KAR-01</v>
      </c>
      <c r="F25" s="7" t="str">
        <f t="shared" si="2"/>
        <v>SI-KAR-01</v>
      </c>
      <c r="G25" s="7" t="s">
        <v>3558</v>
      </c>
      <c r="H25" s="7" t="b">
        <v>1</v>
      </c>
      <c r="I25" s="7" t="s">
        <v>4087</v>
      </c>
    </row>
    <row r="26">
      <c r="A26" s="7" t="s">
        <v>1531</v>
      </c>
      <c r="B26" s="7" t="s">
        <v>1410</v>
      </c>
      <c r="C26" s="7" t="s">
        <v>1532</v>
      </c>
      <c r="D26" s="7" t="s">
        <v>1533</v>
      </c>
      <c r="E26" s="7" t="str">
        <f t="shared" si="1"/>
        <v>SI-GOV-01|SI-DOC-01|SI-HR-01|SI-SRV-01|SI-RES-01|SI-EVL-01|SI-KAR-01</v>
      </c>
      <c r="F26" s="7" t="str">
        <f t="shared" si="2"/>
        <v>SI-KAR-01</v>
      </c>
      <c r="G26" s="7" t="s">
        <v>3558</v>
      </c>
      <c r="H26" s="7" t="b">
        <v>1</v>
      </c>
      <c r="I26" s="7" t="s">
        <v>4087</v>
      </c>
    </row>
    <row r="27">
      <c r="A27" s="7" t="s">
        <v>1534</v>
      </c>
      <c r="B27" s="7" t="s">
        <v>1414</v>
      </c>
      <c r="C27" s="7" t="s">
        <v>1535</v>
      </c>
      <c r="D27" s="7" t="s">
        <v>1536</v>
      </c>
      <c r="E27" s="7" t="str">
        <f t="shared" si="1"/>
        <v>SI-GOV-01|SI-DOC-01|SI-HR-01|SI-SRV-01|SI-RES-01|SI-EVL-01|SI-UKM-01</v>
      </c>
      <c r="F27" s="7" t="str">
        <f t="shared" si="2"/>
        <v>SI-UKM-01</v>
      </c>
      <c r="G27" s="7" t="s">
        <v>3558</v>
      </c>
      <c r="H27" s="7" t="b">
        <v>1</v>
      </c>
      <c r="I27" s="7" t="s">
        <v>4087</v>
      </c>
    </row>
    <row r="28">
      <c r="A28" s="7" t="s">
        <v>1538</v>
      </c>
      <c r="B28" s="7" t="s">
        <v>1418</v>
      </c>
      <c r="C28" s="7" t="s">
        <v>1539</v>
      </c>
      <c r="D28" s="7" t="s">
        <v>1540</v>
      </c>
      <c r="E28" s="7" t="str">
        <f t="shared" si="1"/>
        <v>SI-GOV-01|SI-DOC-01|SI-HR-01|SI-SRV-01|SI-RES-01|SI-EVL-01|SI-JUR-01</v>
      </c>
      <c r="F28" s="7" t="str">
        <f t="shared" si="2"/>
        <v>SI-JUR-01</v>
      </c>
      <c r="G28" s="7" t="s">
        <v>3558</v>
      </c>
      <c r="H28" s="7" t="b">
        <v>1</v>
      </c>
      <c r="I28" s="7" t="s">
        <v>4087</v>
      </c>
    </row>
    <row r="29">
      <c r="A29" s="7" t="s">
        <v>1542</v>
      </c>
      <c r="B29" s="7" t="s">
        <v>1418</v>
      </c>
      <c r="C29" s="7" t="s">
        <v>1543</v>
      </c>
      <c r="D29" s="7" t="s">
        <v>1544</v>
      </c>
      <c r="E29" s="7" t="str">
        <f t="shared" si="1"/>
        <v>SI-GOV-01|SI-DOC-01|SI-HR-01|SI-SRV-01|SI-RES-01|SI-EVL-01|SI-JUR-01</v>
      </c>
      <c r="F29" s="7" t="str">
        <f t="shared" si="2"/>
        <v>SI-JUR-01</v>
      </c>
      <c r="G29" s="7" t="s">
        <v>3558</v>
      </c>
      <c r="H29" s="7" t="b">
        <v>1</v>
      </c>
      <c r="I29" s="7" t="s">
        <v>4087</v>
      </c>
    </row>
    <row r="30">
      <c r="A30" s="7" t="s">
        <v>1545</v>
      </c>
      <c r="B30" s="7" t="s">
        <v>1423</v>
      </c>
      <c r="C30" s="7" t="s">
        <v>1539</v>
      </c>
      <c r="D30" s="7" t="s">
        <v>1540</v>
      </c>
      <c r="E30" s="7" t="str">
        <f t="shared" si="1"/>
        <v>SI-GOV-01|SI-DOC-01|SI-HR-01|SI-SRV-01|SI-RES-01|SI-EVL-01|SI-JUR-01</v>
      </c>
      <c r="F30" s="7" t="str">
        <f t="shared" si="2"/>
        <v>SI-JUR-01</v>
      </c>
      <c r="G30" s="7" t="s">
        <v>3558</v>
      </c>
      <c r="H30" s="7" t="b">
        <v>1</v>
      </c>
      <c r="I30" s="7" t="s">
        <v>4087</v>
      </c>
    </row>
    <row r="31">
      <c r="A31" s="7" t="s">
        <v>1546</v>
      </c>
      <c r="B31" s="7" t="s">
        <v>1423</v>
      </c>
      <c r="C31" s="7" t="s">
        <v>1543</v>
      </c>
      <c r="D31" s="7" t="s">
        <v>1544</v>
      </c>
      <c r="E31" s="7" t="str">
        <f t="shared" si="1"/>
        <v>SI-GOV-01|SI-DOC-01|SI-HR-01|SI-SRV-01|SI-RES-01|SI-EVL-01|SI-JUR-01</v>
      </c>
      <c r="F31" s="7" t="str">
        <f t="shared" si="2"/>
        <v>SI-JUR-01</v>
      </c>
      <c r="G31" s="7" t="s">
        <v>3558</v>
      </c>
      <c r="H31" s="7" t="b">
        <v>1</v>
      </c>
      <c r="I31" s="7" t="s">
        <v>4087</v>
      </c>
    </row>
    <row r="32">
      <c r="A32" s="7" t="s">
        <v>1547</v>
      </c>
      <c r="B32" s="7" t="s">
        <v>1426</v>
      </c>
      <c r="C32" s="7" t="s">
        <v>1539</v>
      </c>
      <c r="D32" s="7" t="s">
        <v>1540</v>
      </c>
      <c r="E32" s="7" t="str">
        <f t="shared" si="1"/>
        <v>SI-GOV-01|SI-DOC-01|SI-HR-01|SI-SRV-01|SI-RES-01|SI-EVL-01|SI-JUR-01</v>
      </c>
      <c r="F32" s="7" t="str">
        <f t="shared" si="2"/>
        <v>SI-JUR-01</v>
      </c>
      <c r="G32" s="7" t="s">
        <v>3558</v>
      </c>
      <c r="H32" s="7" t="b">
        <v>1</v>
      </c>
      <c r="I32" s="7" t="s">
        <v>4087</v>
      </c>
    </row>
    <row r="33">
      <c r="A33" s="7" t="s">
        <v>1548</v>
      </c>
      <c r="B33" s="7" t="s">
        <v>1426</v>
      </c>
      <c r="C33" s="7" t="s">
        <v>1543</v>
      </c>
      <c r="D33" s="7" t="s">
        <v>1544</v>
      </c>
      <c r="E33" s="7" t="str">
        <f t="shared" si="1"/>
        <v>SI-GOV-01|SI-DOC-01|SI-HR-01|SI-SRV-01|SI-RES-01|SI-EVL-01|SI-JUR-01</v>
      </c>
      <c r="F33" s="7" t="str">
        <f t="shared" si="2"/>
        <v>SI-JUR-01</v>
      </c>
      <c r="G33" s="7" t="s">
        <v>3558</v>
      </c>
      <c r="H33" s="7" t="b">
        <v>1</v>
      </c>
      <c r="I33" s="7" t="s">
        <v>4087</v>
      </c>
    </row>
    <row r="34">
      <c r="A34" s="7" t="s">
        <v>1549</v>
      </c>
      <c r="B34" s="7" t="s">
        <v>1429</v>
      </c>
      <c r="C34" s="7" t="s">
        <v>1539</v>
      </c>
      <c r="D34" s="7" t="s">
        <v>1540</v>
      </c>
      <c r="E34" s="7" t="str">
        <f t="shared" si="1"/>
        <v>SI-GOV-01|SI-DOC-01|SI-HR-01|SI-SRV-01|SI-RES-01|SI-EVL-01|SI-JUR-01</v>
      </c>
      <c r="F34" s="7" t="str">
        <f t="shared" si="2"/>
        <v>SI-JUR-01</v>
      </c>
      <c r="G34" s="7" t="s">
        <v>3558</v>
      </c>
      <c r="H34" s="7" t="b">
        <v>1</v>
      </c>
      <c r="I34" s="7" t="s">
        <v>4087</v>
      </c>
    </row>
    <row r="35">
      <c r="A35" s="7" t="s">
        <v>1550</v>
      </c>
      <c r="B35" s="7" t="s">
        <v>1429</v>
      </c>
      <c r="C35" s="7" t="s">
        <v>1543</v>
      </c>
      <c r="D35" s="7" t="s">
        <v>1544</v>
      </c>
      <c r="E35" s="7" t="str">
        <f t="shared" si="1"/>
        <v>SI-GOV-01|SI-DOC-01|SI-HR-01|SI-SRV-01|SI-RES-01|SI-EVL-01|SI-JUR-01</v>
      </c>
      <c r="F35" s="7" t="str">
        <f t="shared" si="2"/>
        <v>SI-JUR-01</v>
      </c>
      <c r="G35" s="7" t="s">
        <v>3558</v>
      </c>
      <c r="H35" s="7" t="b">
        <v>1</v>
      </c>
      <c r="I35" s="7" t="s">
        <v>4087</v>
      </c>
    </row>
    <row r="36">
      <c r="A36" s="7" t="s">
        <v>1551</v>
      </c>
      <c r="B36" s="7" t="s">
        <v>1432</v>
      </c>
      <c r="C36" s="7" t="s">
        <v>1539</v>
      </c>
      <c r="D36" s="7" t="s">
        <v>1540</v>
      </c>
      <c r="E36" s="7" t="str">
        <f t="shared" si="1"/>
        <v>SI-GOV-01|SI-DOC-01|SI-HR-01|SI-SRV-01|SI-RES-01|SI-EVL-01|SI-JUR-01</v>
      </c>
      <c r="F36" s="7" t="str">
        <f t="shared" si="2"/>
        <v>SI-JUR-01</v>
      </c>
      <c r="G36" s="7" t="s">
        <v>3558</v>
      </c>
      <c r="H36" s="7" t="b">
        <v>1</v>
      </c>
      <c r="I36" s="7" t="s">
        <v>4087</v>
      </c>
    </row>
    <row r="37">
      <c r="A37" s="7" t="s">
        <v>1552</v>
      </c>
      <c r="B37" s="7" t="s">
        <v>1432</v>
      </c>
      <c r="C37" s="7" t="s">
        <v>1543</v>
      </c>
      <c r="D37" s="7" t="s">
        <v>1544</v>
      </c>
      <c r="E37" s="7" t="str">
        <f t="shared" si="1"/>
        <v>SI-GOV-01|SI-DOC-01|SI-HR-01|SI-SRV-01|SI-RES-01|SI-EVL-01|SI-JUR-01</v>
      </c>
      <c r="F37" s="7" t="str">
        <f t="shared" si="2"/>
        <v>SI-JUR-01</v>
      </c>
      <c r="G37" s="7" t="s">
        <v>3558</v>
      </c>
      <c r="H37" s="7" t="b">
        <v>1</v>
      </c>
      <c r="I37" s="7" t="s">
        <v>4087</v>
      </c>
    </row>
    <row r="38">
      <c r="A38" s="7" t="s">
        <v>1553</v>
      </c>
      <c r="B38" s="7" t="s">
        <v>1435</v>
      </c>
      <c r="C38" s="7" t="s">
        <v>1539</v>
      </c>
      <c r="D38" s="7" t="s">
        <v>1540</v>
      </c>
      <c r="E38" s="7" t="str">
        <f t="shared" si="1"/>
        <v>SI-GOV-01|SI-DOC-01|SI-HR-01|SI-SRV-01|SI-RES-01|SI-EVL-01|SI-JUR-01</v>
      </c>
      <c r="F38" s="7" t="str">
        <f t="shared" si="2"/>
        <v>SI-JUR-01</v>
      </c>
      <c r="G38" s="7" t="s">
        <v>3558</v>
      </c>
      <c r="H38" s="7" t="b">
        <v>1</v>
      </c>
      <c r="I38" s="7" t="s">
        <v>4087</v>
      </c>
    </row>
    <row r="39">
      <c r="A39" s="7" t="s">
        <v>1554</v>
      </c>
      <c r="B39" s="7" t="s">
        <v>1435</v>
      </c>
      <c r="C39" s="7" t="s">
        <v>1543</v>
      </c>
      <c r="D39" s="7" t="s">
        <v>1544</v>
      </c>
      <c r="E39" s="7" t="str">
        <f t="shared" si="1"/>
        <v>SI-GOV-01|SI-DOC-01|SI-HR-01|SI-SRV-01|SI-RES-01|SI-EVL-01|SI-JUR-01</v>
      </c>
      <c r="F39" s="7" t="str">
        <f t="shared" si="2"/>
        <v>SI-JUR-01</v>
      </c>
      <c r="G39" s="7" t="s">
        <v>3558</v>
      </c>
      <c r="H39" s="7" t="b">
        <v>1</v>
      </c>
      <c r="I39" s="7" t="s">
        <v>4087</v>
      </c>
    </row>
    <row r="40">
      <c r="A40" s="7" t="s">
        <v>1555</v>
      </c>
      <c r="B40" s="7" t="s">
        <v>1438</v>
      </c>
      <c r="C40" s="7" t="s">
        <v>1539</v>
      </c>
      <c r="D40" s="7" t="s">
        <v>1540</v>
      </c>
      <c r="E40" s="7" t="str">
        <f t="shared" si="1"/>
        <v>SI-GOV-01|SI-DOC-01|SI-HR-01|SI-SRV-01|SI-RES-01|SI-EVL-01|SI-JUR-01</v>
      </c>
      <c r="F40" s="7" t="str">
        <f t="shared" si="2"/>
        <v>SI-JUR-01</v>
      </c>
      <c r="G40" s="7" t="s">
        <v>3558</v>
      </c>
      <c r="H40" s="7" t="b">
        <v>1</v>
      </c>
      <c r="I40" s="7" t="s">
        <v>4087</v>
      </c>
    </row>
    <row r="41">
      <c r="A41" s="7" t="s">
        <v>1556</v>
      </c>
      <c r="B41" s="7" t="s">
        <v>1438</v>
      </c>
      <c r="C41" s="7" t="s">
        <v>1543</v>
      </c>
      <c r="D41" s="7" t="s">
        <v>1544</v>
      </c>
      <c r="E41" s="7" t="str">
        <f t="shared" si="1"/>
        <v>SI-GOV-01|SI-DOC-01|SI-HR-01|SI-SRV-01|SI-RES-01|SI-EVL-01|SI-JUR-01</v>
      </c>
      <c r="F41" s="7" t="str">
        <f t="shared" si="2"/>
        <v>SI-JUR-01</v>
      </c>
      <c r="G41" s="7" t="s">
        <v>3558</v>
      </c>
      <c r="H41" s="7" t="b">
        <v>1</v>
      </c>
      <c r="I41" s="7" t="s">
        <v>4087</v>
      </c>
    </row>
    <row r="42">
      <c r="A42" s="7" t="s">
        <v>1557</v>
      </c>
      <c r="B42" s="7" t="s">
        <v>1441</v>
      </c>
      <c r="C42" s="7" t="s">
        <v>1539</v>
      </c>
      <c r="D42" s="7" t="s">
        <v>1540</v>
      </c>
      <c r="E42" s="7" t="str">
        <f t="shared" si="1"/>
        <v>SI-GOV-01|SI-DOC-01|SI-HR-01|SI-SRV-01|SI-RES-01|SI-EVL-01|SI-JUR-01</v>
      </c>
      <c r="F42" s="7" t="str">
        <f t="shared" si="2"/>
        <v>SI-JUR-01</v>
      </c>
      <c r="G42" s="7" t="s">
        <v>3558</v>
      </c>
      <c r="H42" s="7" t="b">
        <v>1</v>
      </c>
      <c r="I42" s="7" t="s">
        <v>4087</v>
      </c>
    </row>
    <row r="43">
      <c r="A43" s="7" t="s">
        <v>1558</v>
      </c>
      <c r="B43" s="7" t="s">
        <v>1441</v>
      </c>
      <c r="C43" s="7" t="s">
        <v>1543</v>
      </c>
      <c r="D43" s="7" t="s">
        <v>1544</v>
      </c>
      <c r="E43" s="7" t="str">
        <f t="shared" si="1"/>
        <v>SI-GOV-01|SI-DOC-01|SI-HR-01|SI-SRV-01|SI-RES-01|SI-EVL-01|SI-JUR-01</v>
      </c>
      <c r="F43" s="7" t="str">
        <f t="shared" si="2"/>
        <v>SI-JUR-01</v>
      </c>
      <c r="G43" s="7" t="s">
        <v>3558</v>
      </c>
      <c r="H43" s="7" t="b">
        <v>1</v>
      </c>
      <c r="I43" s="7" t="s">
        <v>4087</v>
      </c>
    </row>
  </sheetData>
  <autoFilter ref="$A$1:$I$4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3.88"/>
    <col customWidth="1" min="4" max="4" width="50.13"/>
    <col customWidth="1" min="5" max="5" width="17.63"/>
    <col customWidth="1" min="6" max="6" width="30.13"/>
    <col customWidth="1" min="7" max="7" width="50.13"/>
    <col customWidth="1" min="8" max="8" width="27.63"/>
    <col customWidth="1" min="9" max="9" width="50.13"/>
    <col customWidth="1" min="10" max="10" width="15.13"/>
    <col customWidth="1" min="11" max="11" width="62.63"/>
    <col customWidth="1" min="12" max="12" width="40.13"/>
    <col customWidth="1" min="13" max="13" width="16.38"/>
    <col customWidth="1" min="14" max="14" width="37.63"/>
    <col customWidth="1" min="15" max="15" width="11.38"/>
    <col customWidth="1" min="16" max="17" width="8.88"/>
    <col customWidth="1" min="18" max="19" width="13.88"/>
    <col customWidth="1" min="20" max="20" width="37.63"/>
  </cols>
  <sheetData>
    <row r="1" ht="27.0" customHeight="1">
      <c r="A1" s="20" t="s">
        <v>1932</v>
      </c>
      <c r="B1" s="20" t="s">
        <v>511</v>
      </c>
      <c r="C1" s="20" t="s">
        <v>818</v>
      </c>
      <c r="D1" s="20" t="s">
        <v>1933</v>
      </c>
      <c r="E1" s="20" t="s">
        <v>3549</v>
      </c>
      <c r="F1" s="20" t="s">
        <v>3550</v>
      </c>
      <c r="G1" s="20" t="s">
        <v>4088</v>
      </c>
      <c r="H1" s="20" t="s">
        <v>3551</v>
      </c>
      <c r="I1" s="20" t="s">
        <v>4089</v>
      </c>
      <c r="J1" s="20" t="s">
        <v>522</v>
      </c>
      <c r="K1" s="20" t="s">
        <v>4090</v>
      </c>
      <c r="L1" s="20" t="s">
        <v>4091</v>
      </c>
      <c r="M1" s="20" t="s">
        <v>1799</v>
      </c>
      <c r="N1" s="20" t="s">
        <v>548</v>
      </c>
      <c r="O1" s="20" t="s">
        <v>550</v>
      </c>
      <c r="P1" s="20" t="s">
        <v>553</v>
      </c>
      <c r="Q1" s="20" t="s">
        <v>555</v>
      </c>
      <c r="R1" s="20" t="s">
        <v>1801</v>
      </c>
      <c r="S1" s="20" t="s">
        <v>4092</v>
      </c>
      <c r="T1" s="20" t="s">
        <v>349</v>
      </c>
    </row>
    <row r="2">
      <c r="A2" s="7" t="str">
        <f t="array" ref="A2:A251">'17_QUESTION_BANK'!A2:A251</f>
        <v>Q-0001</v>
      </c>
      <c r="B2" s="7" t="str">
        <f t="array" ref="B2:B251">'17_QUESTION_BANK'!B2:B251</f>
        <v>U-GOV-01</v>
      </c>
      <c r="C2" s="7" t="str">
        <f t="array" ref="C2:C251">'17_QUESTION_BANK'!C2:C251</f>
        <v>GOV</v>
      </c>
      <c r="D2" s="7" t="str">
        <f t="array" ref="D2:D251">'17_QUESTION_BANK'!D2:D251</f>
        <v>Apakah unit memiliki dasar pembentukan dan rumusan tugas serta fungsi yang masih berlaku?</v>
      </c>
      <c r="E2" s="7" t="str">
        <f t="array" ref="E2:E251">IF(C2:C251="","",IFERROR(VLOOKUP(C2:C251,'28_INTERNAL_STANDARDS'!A2:N26,2,FALSE),""))</f>
        <v>SI-GOV-01</v>
      </c>
      <c r="F2" s="7" t="str">
        <f t="array" ref="F2:F251">IF(C2:C251="","",IFERROR(VLOOKUP(C2:C251,'28_INTERNAL_STANDARDS'!A2:N26,3,FALSE),""))</f>
        <v>Standar Tata Kelola, Mandat, dan Akuntabilitas Unit</v>
      </c>
      <c r="G2" s="7" t="str">
        <f t="array" ref="G2:G251">IF(C2:C251="","",IFERROR(VLOOKUP(C2:C251,'28_INTERNAL_STANDARDS'!A2:N26,4,FALSE),""))</f>
        <v>Setiap unit menetapkan mandat, struktur, kewenangan, proses, sasaran, risiko, indikator, dan mekanisme akuntabilitas yang selaras dengan rencana institusi.</v>
      </c>
      <c r="H2" s="7" t="str">
        <f t="array" ref="H2:H251">IF(C2:C251="","",IFERROR(VLOOKUP(C2:C251,'28_INTERNAL_STANDARDS'!A2:N26,5,FALSE),""))</f>
        <v>Pasal 31-34; Pasal 64; Pasal 65 ayat (4); Pasal 67-68</v>
      </c>
      <c r="I2" s="7" t="str">
        <f t="array" ref="I2:I251">IF(C2:C251="","",IFERROR(VLOOKUP(C2:C251,'28_INTERNAL_STANDARDS'!A2:N26,6,FALSE),""))</f>
        <v>Pengelolaan wajib direncanakan, dilaksanakan, diawasi, dikendalikan, ditetapkan sebagai standar internal, dan dievaluasi melalui SPMI bidang nonakademik.</v>
      </c>
      <c r="J2" s="7">
        <f t="array" ref="J2:J251">'17_QUESTION_BANK'!F2:F251</f>
        <v>5.3</v>
      </c>
      <c r="K2" s="7" t="str">
        <f>IFERROR(__xludf.DUMMYFUNCTION("IF(E2="""","""",TEXTJOIN(""|"",TRUE,FILTER('29_FUNCTION_STANDARD_MAP'!A$2:A$43,ISNUMBER(SEARCH(""|""&amp;E2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2" s="7" t="str">
        <f>IFERROR(__xludf.DUMMYFUNCTION("IF(E2="""","""",TEXTJOIN(""|"",TRUE,UNIQUE(FILTER('29_FUNCTION_STANDARD_MAP'!B$2:B$43,ISNUMBER(SEARCH(""|""&amp;E2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2" s="7" t="str">
        <f t="array" ref="M2:M251">'17_QUESTION_BANK'!G2:G251</f>
        <v>ALL</v>
      </c>
      <c r="N2" s="7" t="str">
        <f t="array" ref="N2:N251">'17_QUESTION_BANK'!H2:H251</f>
        <v>OTK/statuta/SK pembentukan, uraian tugas</v>
      </c>
      <c r="O2" s="7" t="str">
        <f t="array" ref="O2:O251">'17_QUESTION_BANK'!J2:J251</f>
        <v>HIGH</v>
      </c>
      <c r="P2" s="7">
        <f t="array" ref="P2:P251">'17_QUESTION_BANK'!K2:K251</f>
        <v>3</v>
      </c>
      <c r="Q2" s="7" t="b">
        <f t="array" ref="Q2:Q251">'17_QUESTION_BANK'!L2:L251</f>
        <v>1</v>
      </c>
      <c r="R2" s="7" t="str">
        <f t="array" ref="R2:R251">IF(A2:A251="","",IFERROR(VLOOKUP(A2:A251,'24_Q_REQUIREMENT_MAP'!B2:I251,8,FALSE),"REVIEW"))</f>
        <v>COMPLETE</v>
      </c>
      <c r="S2" s="7" t="str">
        <f t="array" ref="S2:S251">IF(A2:A251="","","2026-D1")</f>
        <v>2026-D1</v>
      </c>
      <c r="T2" s="7" t="str">
        <f t="array" ref="T2:T251">IF(A2:A251="","","Standar internal berstatus rancangan sampai ditetapkan secara formal oleh Polbeng.")</f>
        <v>Standar internal berstatus rancangan sampai ditetapkan secara formal oleh Polbeng.</v>
      </c>
    </row>
    <row r="3">
      <c r="A3" s="7" t="s">
        <v>1945</v>
      </c>
      <c r="B3" s="7" t="s">
        <v>1946</v>
      </c>
      <c r="C3" s="7" t="s">
        <v>1939</v>
      </c>
      <c r="D3" s="7" t="s">
        <v>1947</v>
      </c>
      <c r="E3" s="7" t="s">
        <v>3555</v>
      </c>
      <c r="F3" s="7" t="s">
        <v>3556</v>
      </c>
      <c r="G3" s="7" t="s">
        <v>3972</v>
      </c>
      <c r="H3" s="7" t="s">
        <v>3557</v>
      </c>
      <c r="I3" s="7" t="s">
        <v>3973</v>
      </c>
      <c r="J3" s="7">
        <v>5.3</v>
      </c>
      <c r="K3" s="7" t="str">
        <f>IFERROR(__xludf.DUMMYFUNCTION("IF(E3="""","""",TEXTJOIN(""|"",TRUE,FILTER('29_FUNCTION_STANDARD_MAP'!A$2:A$43,ISNUMBER(SEARCH(""|""&amp;E3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3" s="7" t="str">
        <f>IFERROR(__xludf.DUMMYFUNCTION("IF(E3="""","""",TEXTJOIN(""|"",TRUE,UNIQUE(FILTER('29_FUNCTION_STANDARD_MAP'!B$2:B$43,ISNUMBER(SEARCH(""|""&amp;E3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3" s="7" t="s">
        <v>1807</v>
      </c>
      <c r="N3" s="7" t="s">
        <v>1949</v>
      </c>
      <c r="O3" s="7" t="s">
        <v>1452</v>
      </c>
      <c r="P3" s="7">
        <v>3.0</v>
      </c>
      <c r="Q3" s="7" t="b">
        <v>1</v>
      </c>
      <c r="R3" s="7" t="s">
        <v>3558</v>
      </c>
      <c r="S3" s="7" t="s">
        <v>329</v>
      </c>
      <c r="T3" s="7" t="s">
        <v>4093</v>
      </c>
    </row>
    <row r="4">
      <c r="A4" s="7" t="s">
        <v>1950</v>
      </c>
      <c r="B4" s="7" t="s">
        <v>1951</v>
      </c>
      <c r="C4" s="7" t="s">
        <v>1939</v>
      </c>
      <c r="D4" s="7" t="s">
        <v>1952</v>
      </c>
      <c r="E4" s="7" t="s">
        <v>3555</v>
      </c>
      <c r="F4" s="7" t="s">
        <v>3556</v>
      </c>
      <c r="G4" s="7" t="s">
        <v>3972</v>
      </c>
      <c r="H4" s="7" t="s">
        <v>3557</v>
      </c>
      <c r="I4" s="7" t="s">
        <v>3973</v>
      </c>
      <c r="J4" s="7">
        <v>4.4</v>
      </c>
      <c r="K4" s="7" t="str">
        <f>IFERROR(__xludf.DUMMYFUNCTION("IF(E4="""","""",TEXTJOIN(""|"",TRUE,FILTER('29_FUNCTION_STANDARD_MAP'!A$2:A$43,ISNUMBER(SEARCH(""|""&amp;E4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4" s="7" t="str">
        <f>IFERROR(__xludf.DUMMYFUNCTION("IF(E4="""","""",TEXTJOIN(""|"",TRUE,UNIQUE(FILTER('29_FUNCTION_STANDARD_MAP'!B$2:B$43,ISNUMBER(SEARCH(""|""&amp;E4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4" s="7" t="s">
        <v>1807</v>
      </c>
      <c r="N4" s="7" t="s">
        <v>1954</v>
      </c>
      <c r="O4" s="7" t="s">
        <v>1452</v>
      </c>
      <c r="P4" s="7">
        <v>3.0</v>
      </c>
      <c r="Q4" s="7" t="b">
        <v>1</v>
      </c>
      <c r="R4" s="7" t="s">
        <v>3558</v>
      </c>
      <c r="S4" s="7" t="s">
        <v>329</v>
      </c>
      <c r="T4" s="7" t="s">
        <v>4093</v>
      </c>
    </row>
    <row r="5">
      <c r="A5" s="7" t="s">
        <v>1956</v>
      </c>
      <c r="B5" s="7" t="s">
        <v>1957</v>
      </c>
      <c r="C5" s="7" t="s">
        <v>1939</v>
      </c>
      <c r="D5" s="7" t="s">
        <v>1958</v>
      </c>
      <c r="E5" s="7" t="s">
        <v>3555</v>
      </c>
      <c r="F5" s="7" t="s">
        <v>3556</v>
      </c>
      <c r="G5" s="7" t="s">
        <v>3972</v>
      </c>
      <c r="H5" s="7" t="s">
        <v>3557</v>
      </c>
      <c r="I5" s="7" t="s">
        <v>3973</v>
      </c>
      <c r="J5" s="7">
        <v>4.4</v>
      </c>
      <c r="K5" s="7" t="str">
        <f>IFERROR(__xludf.DUMMYFUNCTION("IF(E5="""","""",TEXTJOIN(""|"",TRUE,FILTER('29_FUNCTION_STANDARD_MAP'!A$2:A$43,ISNUMBER(SEARCH(""|""&amp;E5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5" s="7" t="str">
        <f>IFERROR(__xludf.DUMMYFUNCTION("IF(E5="""","""",TEXTJOIN(""|"",TRUE,UNIQUE(FILTER('29_FUNCTION_STANDARD_MAP'!B$2:B$43,ISNUMBER(SEARCH(""|""&amp;E5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5" s="7" t="s">
        <v>1807</v>
      </c>
      <c r="N5" s="7" t="s">
        <v>1960</v>
      </c>
      <c r="O5" s="7" t="s">
        <v>1465</v>
      </c>
      <c r="P5" s="7">
        <v>2.0</v>
      </c>
      <c r="Q5" s="7" t="b">
        <v>1</v>
      </c>
      <c r="R5" s="7" t="s">
        <v>3558</v>
      </c>
      <c r="S5" s="7" t="s">
        <v>329</v>
      </c>
      <c r="T5" s="7" t="s">
        <v>4093</v>
      </c>
    </row>
    <row r="6">
      <c r="A6" s="7" t="s">
        <v>1961</v>
      </c>
      <c r="B6" s="7" t="s">
        <v>1962</v>
      </c>
      <c r="C6" s="7" t="s">
        <v>1939</v>
      </c>
      <c r="D6" s="7" t="s">
        <v>1963</v>
      </c>
      <c r="E6" s="7" t="s">
        <v>3555</v>
      </c>
      <c r="F6" s="7" t="s">
        <v>3556</v>
      </c>
      <c r="G6" s="7" t="s">
        <v>3972</v>
      </c>
      <c r="H6" s="7" t="s">
        <v>3557</v>
      </c>
      <c r="I6" s="7" t="s">
        <v>3973</v>
      </c>
      <c r="J6" s="7">
        <v>6.2</v>
      </c>
      <c r="K6" s="7" t="str">
        <f>IFERROR(__xludf.DUMMYFUNCTION("IF(E6="""","""",TEXTJOIN(""|"",TRUE,FILTER('29_FUNCTION_STANDARD_MAP'!A$2:A$43,ISNUMBER(SEARCH(""|""&amp;E6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6" s="7" t="str">
        <f>IFERROR(__xludf.DUMMYFUNCTION("IF(E6="""","""",TEXTJOIN(""|"",TRUE,UNIQUE(FILTER('29_FUNCTION_STANDARD_MAP'!B$2:B$43,ISNUMBER(SEARCH(""|""&amp;E6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6" s="7" t="s">
        <v>1807</v>
      </c>
      <c r="N6" s="7" t="s">
        <v>1965</v>
      </c>
      <c r="O6" s="7" t="s">
        <v>1452</v>
      </c>
      <c r="P6" s="7">
        <v>3.0</v>
      </c>
      <c r="Q6" s="7" t="b">
        <v>1</v>
      </c>
      <c r="R6" s="7" t="s">
        <v>3558</v>
      </c>
      <c r="S6" s="7" t="s">
        <v>329</v>
      </c>
      <c r="T6" s="7" t="s">
        <v>4093</v>
      </c>
    </row>
    <row r="7">
      <c r="A7" s="7" t="s">
        <v>1967</v>
      </c>
      <c r="B7" s="7" t="s">
        <v>1968</v>
      </c>
      <c r="C7" s="7" t="s">
        <v>1939</v>
      </c>
      <c r="D7" s="7" t="s">
        <v>1969</v>
      </c>
      <c r="E7" s="7" t="s">
        <v>3555</v>
      </c>
      <c r="F7" s="7" t="s">
        <v>3556</v>
      </c>
      <c r="G7" s="7" t="s">
        <v>3972</v>
      </c>
      <c r="H7" s="7" t="s">
        <v>3557</v>
      </c>
      <c r="I7" s="7" t="s">
        <v>3973</v>
      </c>
      <c r="J7" s="7">
        <v>6.2</v>
      </c>
      <c r="K7" s="7" t="str">
        <f>IFERROR(__xludf.DUMMYFUNCTION("IF(E7="""","""",TEXTJOIN(""|"",TRUE,FILTER('29_FUNCTION_STANDARD_MAP'!A$2:A$43,ISNUMBER(SEARCH(""|""&amp;E7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7" s="7" t="str">
        <f>IFERROR(__xludf.DUMMYFUNCTION("IF(E7="""","""",TEXTJOIN(""|"",TRUE,UNIQUE(FILTER('29_FUNCTION_STANDARD_MAP'!B$2:B$43,ISNUMBER(SEARCH(""|""&amp;E7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7" s="7" t="s">
        <v>1807</v>
      </c>
      <c r="N7" s="7" t="s">
        <v>1971</v>
      </c>
      <c r="O7" s="7" t="s">
        <v>1452</v>
      </c>
      <c r="P7" s="7">
        <v>3.0</v>
      </c>
      <c r="Q7" s="7" t="b">
        <v>1</v>
      </c>
      <c r="R7" s="7" t="s">
        <v>3558</v>
      </c>
      <c r="S7" s="7" t="s">
        <v>329</v>
      </c>
      <c r="T7" s="7" t="s">
        <v>4093</v>
      </c>
    </row>
    <row r="8">
      <c r="A8" s="7" t="s">
        <v>1973</v>
      </c>
      <c r="B8" s="7" t="s">
        <v>1974</v>
      </c>
      <c r="C8" s="7" t="s">
        <v>1939</v>
      </c>
      <c r="D8" s="7" t="s">
        <v>1975</v>
      </c>
      <c r="E8" s="7" t="s">
        <v>3555</v>
      </c>
      <c r="F8" s="7" t="s">
        <v>3556</v>
      </c>
      <c r="G8" s="7" t="s">
        <v>3972</v>
      </c>
      <c r="H8" s="7" t="s">
        <v>3557</v>
      </c>
      <c r="I8" s="7" t="s">
        <v>3973</v>
      </c>
      <c r="J8" s="7" t="s">
        <v>1760</v>
      </c>
      <c r="K8" s="7" t="str">
        <f>IFERROR(__xludf.DUMMYFUNCTION("IF(E8="""","""",TEXTJOIN(""|"",TRUE,FILTER('29_FUNCTION_STANDARD_MAP'!A$2:A$43,ISNUMBER(SEARCH(""|""&amp;E8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8" s="7" t="str">
        <f>IFERROR(__xludf.DUMMYFUNCTION("IF(E8="""","""",TEXTJOIN(""|"",TRUE,UNIQUE(FILTER('29_FUNCTION_STANDARD_MAP'!B$2:B$43,ISNUMBER(SEARCH(""|""&amp;E8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8" s="7" t="s">
        <v>1807</v>
      </c>
      <c r="N8" s="7" t="s">
        <v>1977</v>
      </c>
      <c r="O8" s="7" t="s">
        <v>1452</v>
      </c>
      <c r="P8" s="7">
        <v>3.0</v>
      </c>
      <c r="Q8" s="7" t="b">
        <v>1</v>
      </c>
      <c r="R8" s="7" t="s">
        <v>3558</v>
      </c>
      <c r="S8" s="7" t="s">
        <v>329</v>
      </c>
      <c r="T8" s="7" t="s">
        <v>4093</v>
      </c>
    </row>
    <row r="9">
      <c r="A9" s="7" t="s">
        <v>1979</v>
      </c>
      <c r="B9" s="7" t="s">
        <v>1980</v>
      </c>
      <c r="C9" s="7" t="s">
        <v>1939</v>
      </c>
      <c r="D9" s="7" t="s">
        <v>1981</v>
      </c>
      <c r="E9" s="7" t="s">
        <v>3555</v>
      </c>
      <c r="F9" s="7" t="s">
        <v>3556</v>
      </c>
      <c r="G9" s="7" t="s">
        <v>3972</v>
      </c>
      <c r="H9" s="7" t="s">
        <v>3557</v>
      </c>
      <c r="I9" s="7" t="s">
        <v>3973</v>
      </c>
      <c r="J9" s="7" t="s">
        <v>1983</v>
      </c>
      <c r="K9" s="7" t="str">
        <f>IFERROR(__xludf.DUMMYFUNCTION("IF(E9="""","""",TEXTJOIN(""|"",TRUE,FILTER('29_FUNCTION_STANDARD_MAP'!A$2:A$43,ISNUMBER(SEARCH(""|""&amp;E9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9" s="7" t="str">
        <f>IFERROR(__xludf.DUMMYFUNCTION("IF(E9="""","""",TEXTJOIN(""|"",TRUE,UNIQUE(FILTER('29_FUNCTION_STANDARD_MAP'!B$2:B$43,ISNUMBER(SEARCH(""|""&amp;E9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9" s="7" t="s">
        <v>1807</v>
      </c>
      <c r="N9" s="7" t="s">
        <v>1984</v>
      </c>
      <c r="O9" s="7" t="s">
        <v>1452</v>
      </c>
      <c r="P9" s="7">
        <v>3.0</v>
      </c>
      <c r="Q9" s="7" t="b">
        <v>1</v>
      </c>
      <c r="R9" s="7" t="s">
        <v>3558</v>
      </c>
      <c r="S9" s="7" t="s">
        <v>329</v>
      </c>
      <c r="T9" s="7" t="s">
        <v>4093</v>
      </c>
    </row>
    <row r="10">
      <c r="A10" s="7" t="s">
        <v>1985</v>
      </c>
      <c r="B10" s="7" t="s">
        <v>1986</v>
      </c>
      <c r="C10" s="7" t="s">
        <v>1939</v>
      </c>
      <c r="D10" s="7" t="s">
        <v>1987</v>
      </c>
      <c r="E10" s="7" t="s">
        <v>3555</v>
      </c>
      <c r="F10" s="7" t="s">
        <v>3556</v>
      </c>
      <c r="G10" s="7" t="s">
        <v>3972</v>
      </c>
      <c r="H10" s="7" t="s">
        <v>3557</v>
      </c>
      <c r="I10" s="7" t="s">
        <v>3973</v>
      </c>
      <c r="J10" s="7">
        <v>6.1</v>
      </c>
      <c r="K10" s="7" t="str">
        <f>IFERROR(__xludf.DUMMYFUNCTION("IF(E10="""","""",TEXTJOIN(""|"",TRUE,FILTER('29_FUNCTION_STANDARD_MAP'!A$2:A$43,ISNUMBER(SEARCH(""|""&amp;E10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10" s="7" t="str">
        <f>IFERROR(__xludf.DUMMYFUNCTION("IF(E10="""","""",TEXTJOIN(""|"",TRUE,UNIQUE(FILTER('29_FUNCTION_STANDARD_MAP'!B$2:B$43,ISNUMBER(SEARCH(""|""&amp;E10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10" s="7" t="s">
        <v>1807</v>
      </c>
      <c r="N10" s="7" t="s">
        <v>1989</v>
      </c>
      <c r="O10" s="7" t="s">
        <v>1452</v>
      </c>
      <c r="P10" s="7">
        <v>3.0</v>
      </c>
      <c r="Q10" s="7" t="b">
        <v>1</v>
      </c>
      <c r="R10" s="7" t="s">
        <v>3558</v>
      </c>
      <c r="S10" s="7" t="s">
        <v>329</v>
      </c>
      <c r="T10" s="7" t="s">
        <v>4093</v>
      </c>
    </row>
    <row r="11">
      <c r="A11" s="7" t="s">
        <v>1990</v>
      </c>
      <c r="B11" s="7" t="s">
        <v>1991</v>
      </c>
      <c r="C11" s="7" t="s">
        <v>1939</v>
      </c>
      <c r="D11" s="7" t="s">
        <v>1992</v>
      </c>
      <c r="E11" s="7" t="s">
        <v>3555</v>
      </c>
      <c r="F11" s="7" t="s">
        <v>3556</v>
      </c>
      <c r="G11" s="7" t="s">
        <v>3972</v>
      </c>
      <c r="H11" s="7" t="s">
        <v>3557</v>
      </c>
      <c r="I11" s="7" t="s">
        <v>3973</v>
      </c>
      <c r="J11" s="7" t="s">
        <v>1994</v>
      </c>
      <c r="K11" s="7" t="str">
        <f>IFERROR(__xludf.DUMMYFUNCTION("IF(E11="""","""",TEXTJOIN(""|"",TRUE,FILTER('29_FUNCTION_STANDARD_MAP'!A$2:A$43,ISNUMBER(SEARCH(""|""&amp;E11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11" s="7" t="str">
        <f>IFERROR(__xludf.DUMMYFUNCTION("IF(E11="""","""",TEXTJOIN(""|"",TRUE,UNIQUE(FILTER('29_FUNCTION_STANDARD_MAP'!B$2:B$43,ISNUMBER(SEARCH(""|""&amp;E11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11" s="7" t="s">
        <v>1807</v>
      </c>
      <c r="N11" s="7" t="s">
        <v>1995</v>
      </c>
      <c r="O11" s="7" t="s">
        <v>1465</v>
      </c>
      <c r="P11" s="7">
        <v>2.0</v>
      </c>
      <c r="Q11" s="7" t="b">
        <v>1</v>
      </c>
      <c r="R11" s="7" t="s">
        <v>3558</v>
      </c>
      <c r="S11" s="7" t="s">
        <v>329</v>
      </c>
      <c r="T11" s="7" t="s">
        <v>4093</v>
      </c>
    </row>
    <row r="12">
      <c r="A12" s="7" t="s">
        <v>1996</v>
      </c>
      <c r="B12" s="7" t="s">
        <v>1997</v>
      </c>
      <c r="C12" s="7" t="s">
        <v>1998</v>
      </c>
      <c r="D12" s="7" t="s">
        <v>1999</v>
      </c>
      <c r="E12" s="7" t="s">
        <v>3569</v>
      </c>
      <c r="F12" s="7" t="s">
        <v>3570</v>
      </c>
      <c r="G12" s="7" t="s">
        <v>3977</v>
      </c>
      <c r="H12" s="7" t="s">
        <v>3571</v>
      </c>
      <c r="I12" s="7" t="s">
        <v>3978</v>
      </c>
      <c r="J12" s="7" t="s">
        <v>1691</v>
      </c>
      <c r="K12" s="7" t="str">
        <f>IFERROR(__xludf.DUMMYFUNCTION("IF(E12="""","""",TEXTJOIN(""|"",TRUE,FILTER('29_FUNCTION_STANDARD_MAP'!A$2:A$43,ISNUMBER(SEARCH(""|""&amp;E12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12" s="7" t="str">
        <f>IFERROR(__xludf.DUMMYFUNCTION("IF(E12="""","""",TEXTJOIN(""|"",TRUE,UNIQUE(FILTER('29_FUNCTION_STANDARD_MAP'!B$2:B$43,ISNUMBER(SEARCH(""|""&amp;E12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12" s="7" t="s">
        <v>1807</v>
      </c>
      <c r="N12" s="7" t="s">
        <v>2001</v>
      </c>
      <c r="O12" s="7" t="s">
        <v>1452</v>
      </c>
      <c r="P12" s="7">
        <v>3.0</v>
      </c>
      <c r="Q12" s="7" t="b">
        <v>1</v>
      </c>
      <c r="R12" s="7" t="s">
        <v>3558</v>
      </c>
      <c r="S12" s="7" t="s">
        <v>329</v>
      </c>
      <c r="T12" s="7" t="s">
        <v>4093</v>
      </c>
    </row>
    <row r="13">
      <c r="A13" s="7" t="s">
        <v>2002</v>
      </c>
      <c r="B13" s="7" t="s">
        <v>2003</v>
      </c>
      <c r="C13" s="7" t="s">
        <v>1998</v>
      </c>
      <c r="D13" s="7" t="s">
        <v>2004</v>
      </c>
      <c r="E13" s="7" t="s">
        <v>3569</v>
      </c>
      <c r="F13" s="7" t="s">
        <v>3570</v>
      </c>
      <c r="G13" s="7" t="s">
        <v>3977</v>
      </c>
      <c r="H13" s="7" t="s">
        <v>3571</v>
      </c>
      <c r="I13" s="7" t="s">
        <v>3978</v>
      </c>
      <c r="J13" s="7" t="s">
        <v>1696</v>
      </c>
      <c r="K13" s="7" t="str">
        <f>IFERROR(__xludf.DUMMYFUNCTION("IF(E13="""","""",TEXTJOIN(""|"",TRUE,FILTER('29_FUNCTION_STANDARD_MAP'!A$2:A$43,ISNUMBER(SEARCH(""|""&amp;E13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13" s="7" t="str">
        <f>IFERROR(__xludf.DUMMYFUNCTION("IF(E13="""","""",TEXTJOIN(""|"",TRUE,UNIQUE(FILTER('29_FUNCTION_STANDARD_MAP'!B$2:B$43,ISNUMBER(SEARCH(""|""&amp;E13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13" s="7" t="s">
        <v>1807</v>
      </c>
      <c r="N13" s="7" t="s">
        <v>2006</v>
      </c>
      <c r="O13" s="7" t="s">
        <v>1452</v>
      </c>
      <c r="P13" s="7">
        <v>3.0</v>
      </c>
      <c r="Q13" s="7" t="b">
        <v>1</v>
      </c>
      <c r="R13" s="7" t="s">
        <v>3558</v>
      </c>
      <c r="S13" s="7" t="s">
        <v>329</v>
      </c>
      <c r="T13" s="7" t="s">
        <v>4093</v>
      </c>
    </row>
    <row r="14">
      <c r="A14" s="7" t="s">
        <v>2008</v>
      </c>
      <c r="B14" s="7" t="s">
        <v>2009</v>
      </c>
      <c r="C14" s="7" t="s">
        <v>1998</v>
      </c>
      <c r="D14" s="7" t="s">
        <v>2010</v>
      </c>
      <c r="E14" s="7" t="s">
        <v>3569</v>
      </c>
      <c r="F14" s="7" t="s">
        <v>3570</v>
      </c>
      <c r="G14" s="7" t="s">
        <v>3977</v>
      </c>
      <c r="H14" s="7" t="s">
        <v>3571</v>
      </c>
      <c r="I14" s="7" t="s">
        <v>3978</v>
      </c>
      <c r="J14" s="7" t="s">
        <v>1701</v>
      </c>
      <c r="K14" s="7" t="str">
        <f>IFERROR(__xludf.DUMMYFUNCTION("IF(E14="""","""",TEXTJOIN(""|"",TRUE,FILTER('29_FUNCTION_STANDARD_MAP'!A$2:A$43,ISNUMBER(SEARCH(""|""&amp;E14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14" s="7" t="str">
        <f>IFERROR(__xludf.DUMMYFUNCTION("IF(E14="""","""",TEXTJOIN(""|"",TRUE,UNIQUE(FILTER('29_FUNCTION_STANDARD_MAP'!B$2:B$43,ISNUMBER(SEARCH(""|""&amp;E14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14" s="7" t="s">
        <v>1807</v>
      </c>
      <c r="N14" s="7" t="s">
        <v>2012</v>
      </c>
      <c r="O14" s="7" t="s">
        <v>1452</v>
      </c>
      <c r="P14" s="7">
        <v>3.0</v>
      </c>
      <c r="Q14" s="7" t="b">
        <v>1</v>
      </c>
      <c r="R14" s="7" t="s">
        <v>3558</v>
      </c>
      <c r="S14" s="7" t="s">
        <v>329</v>
      </c>
      <c r="T14" s="7" t="s">
        <v>4093</v>
      </c>
    </row>
    <row r="15">
      <c r="A15" s="7" t="s">
        <v>2014</v>
      </c>
      <c r="B15" s="7" t="s">
        <v>2015</v>
      </c>
      <c r="C15" s="7" t="s">
        <v>1998</v>
      </c>
      <c r="D15" s="7" t="s">
        <v>2016</v>
      </c>
      <c r="E15" s="7" t="s">
        <v>3569</v>
      </c>
      <c r="F15" s="7" t="s">
        <v>3570</v>
      </c>
      <c r="G15" s="7" t="s">
        <v>3977</v>
      </c>
      <c r="H15" s="7" t="s">
        <v>3571</v>
      </c>
      <c r="I15" s="7" t="s">
        <v>3978</v>
      </c>
      <c r="J15" s="7" t="s">
        <v>1701</v>
      </c>
      <c r="K15" s="7" t="str">
        <f>IFERROR(__xludf.DUMMYFUNCTION("IF(E15="""","""",TEXTJOIN(""|"",TRUE,FILTER('29_FUNCTION_STANDARD_MAP'!A$2:A$43,ISNUMBER(SEARCH(""|""&amp;E15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15" s="7" t="str">
        <f>IFERROR(__xludf.DUMMYFUNCTION("IF(E15="""","""",TEXTJOIN(""|"",TRUE,UNIQUE(FILTER('29_FUNCTION_STANDARD_MAP'!B$2:B$43,ISNUMBER(SEARCH(""|""&amp;E15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15" s="7" t="s">
        <v>1807</v>
      </c>
      <c r="N15" s="7" t="s">
        <v>2018</v>
      </c>
      <c r="O15" s="7" t="s">
        <v>1465</v>
      </c>
      <c r="P15" s="7">
        <v>2.0</v>
      </c>
      <c r="Q15" s="7" t="b">
        <v>1</v>
      </c>
      <c r="R15" s="7" t="s">
        <v>3558</v>
      </c>
      <c r="S15" s="7" t="s">
        <v>329</v>
      </c>
      <c r="T15" s="7" t="s">
        <v>4093</v>
      </c>
    </row>
    <row r="16">
      <c r="A16" s="7" t="s">
        <v>2019</v>
      </c>
      <c r="B16" s="7" t="s">
        <v>2020</v>
      </c>
      <c r="C16" s="7" t="s">
        <v>1998</v>
      </c>
      <c r="D16" s="7" t="s">
        <v>2021</v>
      </c>
      <c r="E16" s="7" t="s">
        <v>3569</v>
      </c>
      <c r="F16" s="7" t="s">
        <v>3570</v>
      </c>
      <c r="G16" s="7" t="s">
        <v>3977</v>
      </c>
      <c r="H16" s="7" t="s">
        <v>3571</v>
      </c>
      <c r="I16" s="7" t="s">
        <v>3978</v>
      </c>
      <c r="J16" s="7" t="s">
        <v>1701</v>
      </c>
      <c r="K16" s="7" t="str">
        <f>IFERROR(__xludf.DUMMYFUNCTION("IF(E16="""","""",TEXTJOIN(""|"",TRUE,FILTER('29_FUNCTION_STANDARD_MAP'!A$2:A$43,ISNUMBER(SEARCH(""|""&amp;E16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16" s="7" t="str">
        <f>IFERROR(__xludf.DUMMYFUNCTION("IF(E16="""","""",TEXTJOIN(""|"",TRUE,UNIQUE(FILTER('29_FUNCTION_STANDARD_MAP'!B$2:B$43,ISNUMBER(SEARCH(""|""&amp;E16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16" s="7" t="s">
        <v>1807</v>
      </c>
      <c r="N16" s="7" t="s">
        <v>2023</v>
      </c>
      <c r="O16" s="7" t="s">
        <v>1452</v>
      </c>
      <c r="P16" s="7">
        <v>3.0</v>
      </c>
      <c r="Q16" s="7" t="b">
        <v>1</v>
      </c>
      <c r="R16" s="7" t="s">
        <v>3558</v>
      </c>
      <c r="S16" s="7" t="s">
        <v>329</v>
      </c>
      <c r="T16" s="7" t="s">
        <v>4093</v>
      </c>
    </row>
    <row r="17">
      <c r="A17" s="7" t="s">
        <v>2024</v>
      </c>
      <c r="B17" s="7" t="s">
        <v>2025</v>
      </c>
      <c r="C17" s="7" t="s">
        <v>1998</v>
      </c>
      <c r="D17" s="7" t="s">
        <v>2026</v>
      </c>
      <c r="E17" s="7" t="s">
        <v>3569</v>
      </c>
      <c r="F17" s="7" t="s">
        <v>3570</v>
      </c>
      <c r="G17" s="7" t="s">
        <v>3977</v>
      </c>
      <c r="H17" s="7" t="s">
        <v>3571</v>
      </c>
      <c r="I17" s="7" t="s">
        <v>3978</v>
      </c>
      <c r="J17" s="7" t="s">
        <v>1701</v>
      </c>
      <c r="K17" s="7" t="str">
        <f>IFERROR(__xludf.DUMMYFUNCTION("IF(E17="""","""",TEXTJOIN(""|"",TRUE,FILTER('29_FUNCTION_STANDARD_MAP'!A$2:A$43,ISNUMBER(SEARCH(""|""&amp;E17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17" s="7" t="str">
        <f>IFERROR(__xludf.DUMMYFUNCTION("IF(E17="""","""",TEXTJOIN(""|"",TRUE,UNIQUE(FILTER('29_FUNCTION_STANDARD_MAP'!B$2:B$43,ISNUMBER(SEARCH(""|""&amp;E17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17" s="7" t="s">
        <v>1807</v>
      </c>
      <c r="N17" s="7" t="s">
        <v>2028</v>
      </c>
      <c r="O17" s="7" t="s">
        <v>1452</v>
      </c>
      <c r="P17" s="7">
        <v>3.0</v>
      </c>
      <c r="Q17" s="7" t="b">
        <v>1</v>
      </c>
      <c r="R17" s="7" t="s">
        <v>3558</v>
      </c>
      <c r="S17" s="7" t="s">
        <v>329</v>
      </c>
      <c r="T17" s="7" t="s">
        <v>4093</v>
      </c>
    </row>
    <row r="18">
      <c r="A18" s="7" t="s">
        <v>2029</v>
      </c>
      <c r="B18" s="7" t="s">
        <v>2030</v>
      </c>
      <c r="C18" s="7" t="s">
        <v>1998</v>
      </c>
      <c r="D18" s="7" t="s">
        <v>2031</v>
      </c>
      <c r="E18" s="7" t="s">
        <v>3569</v>
      </c>
      <c r="F18" s="7" t="s">
        <v>3570</v>
      </c>
      <c r="G18" s="7" t="s">
        <v>3977</v>
      </c>
      <c r="H18" s="7" t="s">
        <v>3571</v>
      </c>
      <c r="I18" s="7" t="s">
        <v>3978</v>
      </c>
      <c r="J18" s="7" t="s">
        <v>1701</v>
      </c>
      <c r="K18" s="7" t="str">
        <f>IFERROR(__xludf.DUMMYFUNCTION("IF(E18="""","""",TEXTJOIN(""|"",TRUE,FILTER('29_FUNCTION_STANDARD_MAP'!A$2:A$43,ISNUMBER(SEARCH(""|""&amp;E18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18" s="7" t="str">
        <f>IFERROR(__xludf.DUMMYFUNCTION("IF(E18="""","""",TEXTJOIN(""|"",TRUE,UNIQUE(FILTER('29_FUNCTION_STANDARD_MAP'!B$2:B$43,ISNUMBER(SEARCH(""|""&amp;E18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18" s="7" t="s">
        <v>1807</v>
      </c>
      <c r="N18" s="7" t="s">
        <v>2033</v>
      </c>
      <c r="O18" s="7" t="s">
        <v>1465</v>
      </c>
      <c r="P18" s="7">
        <v>2.0</v>
      </c>
      <c r="Q18" s="7" t="b">
        <v>1</v>
      </c>
      <c r="R18" s="7" t="s">
        <v>3558</v>
      </c>
      <c r="S18" s="7" t="s">
        <v>329</v>
      </c>
      <c r="T18" s="7" t="s">
        <v>4093</v>
      </c>
    </row>
    <row r="19">
      <c r="A19" s="7" t="s">
        <v>2034</v>
      </c>
      <c r="B19" s="7" t="s">
        <v>2035</v>
      </c>
      <c r="C19" s="7" t="s">
        <v>1998</v>
      </c>
      <c r="D19" s="7" t="s">
        <v>2036</v>
      </c>
      <c r="E19" s="7" t="s">
        <v>3569</v>
      </c>
      <c r="F19" s="7" t="s">
        <v>3570</v>
      </c>
      <c r="G19" s="7" t="s">
        <v>3977</v>
      </c>
      <c r="H19" s="7" t="s">
        <v>3571</v>
      </c>
      <c r="I19" s="7" t="s">
        <v>3978</v>
      </c>
      <c r="J19" s="7" t="s">
        <v>1701</v>
      </c>
      <c r="K19" s="7" t="str">
        <f>IFERROR(__xludf.DUMMYFUNCTION("IF(E19="""","""",TEXTJOIN(""|"",TRUE,FILTER('29_FUNCTION_STANDARD_MAP'!A$2:A$43,ISNUMBER(SEARCH(""|""&amp;E19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19" s="7" t="str">
        <f>IFERROR(__xludf.DUMMYFUNCTION("IF(E19="""","""",TEXTJOIN(""|"",TRUE,UNIQUE(FILTER('29_FUNCTION_STANDARD_MAP'!B$2:B$43,ISNUMBER(SEARCH(""|""&amp;E19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19" s="7" t="s">
        <v>1807</v>
      </c>
      <c r="N19" s="7" t="s">
        <v>2038</v>
      </c>
      <c r="O19" s="7" t="s">
        <v>1452</v>
      </c>
      <c r="P19" s="7">
        <v>3.0</v>
      </c>
      <c r="Q19" s="7" t="b">
        <v>1</v>
      </c>
      <c r="R19" s="7" t="s">
        <v>3558</v>
      </c>
      <c r="S19" s="7" t="s">
        <v>329</v>
      </c>
      <c r="T19" s="7" t="s">
        <v>4093</v>
      </c>
    </row>
    <row r="20">
      <c r="A20" s="7" t="s">
        <v>2040</v>
      </c>
      <c r="B20" s="7" t="s">
        <v>2041</v>
      </c>
      <c r="C20" s="7" t="s">
        <v>1998</v>
      </c>
      <c r="D20" s="7" t="s">
        <v>2042</v>
      </c>
      <c r="E20" s="7" t="s">
        <v>3569</v>
      </c>
      <c r="F20" s="7" t="s">
        <v>3570</v>
      </c>
      <c r="G20" s="7" t="s">
        <v>3977</v>
      </c>
      <c r="H20" s="7" t="s">
        <v>3571</v>
      </c>
      <c r="I20" s="7" t="s">
        <v>3978</v>
      </c>
      <c r="J20" s="7" t="s">
        <v>2044</v>
      </c>
      <c r="K20" s="7" t="str">
        <f>IFERROR(__xludf.DUMMYFUNCTION("IF(E20="""","""",TEXTJOIN(""|"",TRUE,FILTER('29_FUNCTION_STANDARD_MAP'!A$2:A$43,ISNUMBER(SEARCH(""|""&amp;E20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20" s="7" t="str">
        <f>IFERROR(__xludf.DUMMYFUNCTION("IF(E20="""","""",TEXTJOIN(""|"",TRUE,UNIQUE(FILTER('29_FUNCTION_STANDARD_MAP'!B$2:B$43,ISNUMBER(SEARCH(""|""&amp;E20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20" s="7" t="s">
        <v>1807</v>
      </c>
      <c r="N20" s="7" t="s">
        <v>2045</v>
      </c>
      <c r="O20" s="7" t="s">
        <v>1452</v>
      </c>
      <c r="P20" s="7">
        <v>3.0</v>
      </c>
      <c r="Q20" s="7" t="b">
        <v>1</v>
      </c>
      <c r="R20" s="7" t="s">
        <v>3558</v>
      </c>
      <c r="S20" s="7" t="s">
        <v>329</v>
      </c>
      <c r="T20" s="7" t="s">
        <v>4093</v>
      </c>
    </row>
    <row r="21">
      <c r="A21" s="7" t="s">
        <v>2047</v>
      </c>
      <c r="B21" s="7" t="s">
        <v>2048</v>
      </c>
      <c r="C21" s="7" t="s">
        <v>1998</v>
      </c>
      <c r="D21" s="7" t="s">
        <v>2049</v>
      </c>
      <c r="E21" s="7" t="s">
        <v>3569</v>
      </c>
      <c r="F21" s="7" t="s">
        <v>3570</v>
      </c>
      <c r="G21" s="7" t="s">
        <v>3977</v>
      </c>
      <c r="H21" s="7" t="s">
        <v>3571</v>
      </c>
      <c r="I21" s="7" t="s">
        <v>3978</v>
      </c>
      <c r="J21" s="7" t="s">
        <v>2051</v>
      </c>
      <c r="K21" s="7" t="str">
        <f>IFERROR(__xludf.DUMMYFUNCTION("IF(E21="""","""",TEXTJOIN(""|"",TRUE,FILTER('29_FUNCTION_STANDARD_MAP'!A$2:A$43,ISNUMBER(SEARCH(""|""&amp;E21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21" s="7" t="str">
        <f>IFERROR(__xludf.DUMMYFUNCTION("IF(E21="""","""",TEXTJOIN(""|"",TRUE,UNIQUE(FILTER('29_FUNCTION_STANDARD_MAP'!B$2:B$43,ISNUMBER(SEARCH(""|""&amp;E21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21" s="7" t="s">
        <v>1807</v>
      </c>
      <c r="N21" s="7" t="s">
        <v>2052</v>
      </c>
      <c r="O21" s="7" t="s">
        <v>1452</v>
      </c>
      <c r="P21" s="7">
        <v>3.0</v>
      </c>
      <c r="Q21" s="7" t="b">
        <v>1</v>
      </c>
      <c r="R21" s="7" t="s">
        <v>3558</v>
      </c>
      <c r="S21" s="7" t="s">
        <v>329</v>
      </c>
      <c r="T21" s="7" t="s">
        <v>4093</v>
      </c>
    </row>
    <row r="22">
      <c r="A22" s="7" t="s">
        <v>2054</v>
      </c>
      <c r="B22" s="7" t="s">
        <v>2055</v>
      </c>
      <c r="C22" s="7" t="s">
        <v>1483</v>
      </c>
      <c r="D22" s="7" t="s">
        <v>2056</v>
      </c>
      <c r="E22" s="7" t="s">
        <v>3582</v>
      </c>
      <c r="F22" s="7" t="s">
        <v>3583</v>
      </c>
      <c r="G22" s="7" t="s">
        <v>3982</v>
      </c>
      <c r="H22" s="7" t="s">
        <v>3584</v>
      </c>
      <c r="I22" s="7" t="s">
        <v>3983</v>
      </c>
      <c r="J22" s="7" t="s">
        <v>2058</v>
      </c>
      <c r="K22" s="7" t="str">
        <f>IFERROR(__xludf.DUMMYFUNCTION("IF(E22="""","""",TEXTJOIN(""|"",TRUE,FILTER('29_FUNCTION_STANDARD_MAP'!A$2:A$43,ISNUMBER(SEARCH(""|""&amp;E22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22" s="7" t="str">
        <f>IFERROR(__xludf.DUMMYFUNCTION("IF(E22="""","""",TEXTJOIN(""|"",TRUE,UNIQUE(FILTER('29_FUNCTION_STANDARD_MAP'!B$2:B$43,ISNUMBER(SEARCH(""|""&amp;E22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22" s="7" t="s">
        <v>1807</v>
      </c>
      <c r="N22" s="7" t="s">
        <v>2059</v>
      </c>
      <c r="O22" s="7" t="s">
        <v>1452</v>
      </c>
      <c r="P22" s="7">
        <v>3.0</v>
      </c>
      <c r="Q22" s="7" t="b">
        <v>1</v>
      </c>
      <c r="R22" s="7" t="s">
        <v>3558</v>
      </c>
      <c r="S22" s="7" t="s">
        <v>329</v>
      </c>
      <c r="T22" s="7" t="s">
        <v>4093</v>
      </c>
    </row>
    <row r="23">
      <c r="A23" s="7" t="s">
        <v>2060</v>
      </c>
      <c r="B23" s="7" t="s">
        <v>2061</v>
      </c>
      <c r="C23" s="7" t="s">
        <v>1483</v>
      </c>
      <c r="D23" s="7" t="s">
        <v>2062</v>
      </c>
      <c r="E23" s="7" t="s">
        <v>3582</v>
      </c>
      <c r="F23" s="7" t="s">
        <v>3583</v>
      </c>
      <c r="G23" s="7" t="s">
        <v>3982</v>
      </c>
      <c r="H23" s="7" t="s">
        <v>3584</v>
      </c>
      <c r="I23" s="7" t="s">
        <v>3983</v>
      </c>
      <c r="J23" s="7" t="s">
        <v>2064</v>
      </c>
      <c r="K23" s="7" t="str">
        <f>IFERROR(__xludf.DUMMYFUNCTION("IF(E23="""","""",TEXTJOIN(""|"",TRUE,FILTER('29_FUNCTION_STANDARD_MAP'!A$2:A$43,ISNUMBER(SEARCH(""|""&amp;E23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23" s="7" t="str">
        <f>IFERROR(__xludf.DUMMYFUNCTION("IF(E23="""","""",TEXTJOIN(""|"",TRUE,UNIQUE(FILTER('29_FUNCTION_STANDARD_MAP'!B$2:B$43,ISNUMBER(SEARCH(""|""&amp;E23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23" s="7" t="s">
        <v>1807</v>
      </c>
      <c r="N23" s="7" t="s">
        <v>2065</v>
      </c>
      <c r="O23" s="7" t="s">
        <v>1452</v>
      </c>
      <c r="P23" s="7">
        <v>3.0</v>
      </c>
      <c r="Q23" s="7" t="b">
        <v>1</v>
      </c>
      <c r="R23" s="7" t="s">
        <v>3558</v>
      </c>
      <c r="S23" s="7" t="s">
        <v>329</v>
      </c>
      <c r="T23" s="7" t="s">
        <v>4093</v>
      </c>
    </row>
    <row r="24">
      <c r="A24" s="7" t="s">
        <v>2066</v>
      </c>
      <c r="B24" s="7" t="s">
        <v>2067</v>
      </c>
      <c r="C24" s="7" t="s">
        <v>1483</v>
      </c>
      <c r="D24" s="7" t="s">
        <v>2068</v>
      </c>
      <c r="E24" s="7" t="s">
        <v>3582</v>
      </c>
      <c r="F24" s="7" t="s">
        <v>3583</v>
      </c>
      <c r="G24" s="7" t="s">
        <v>3982</v>
      </c>
      <c r="H24" s="7" t="s">
        <v>3584</v>
      </c>
      <c r="I24" s="7" t="s">
        <v>3983</v>
      </c>
      <c r="J24" s="7">
        <v>7.2</v>
      </c>
      <c r="K24" s="7" t="str">
        <f>IFERROR(__xludf.DUMMYFUNCTION("IF(E24="""","""",TEXTJOIN(""|"",TRUE,FILTER('29_FUNCTION_STANDARD_MAP'!A$2:A$43,ISNUMBER(SEARCH(""|""&amp;E24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24" s="7" t="str">
        <f>IFERROR(__xludf.DUMMYFUNCTION("IF(E24="""","""",TEXTJOIN(""|"",TRUE,UNIQUE(FILTER('29_FUNCTION_STANDARD_MAP'!B$2:B$43,ISNUMBER(SEARCH(""|""&amp;E24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24" s="7" t="s">
        <v>1807</v>
      </c>
      <c r="N24" s="7" t="s">
        <v>2070</v>
      </c>
      <c r="O24" s="7" t="s">
        <v>1452</v>
      </c>
      <c r="P24" s="7">
        <v>3.0</v>
      </c>
      <c r="Q24" s="7" t="b">
        <v>1</v>
      </c>
      <c r="R24" s="7" t="s">
        <v>3558</v>
      </c>
      <c r="S24" s="7" t="s">
        <v>329</v>
      </c>
      <c r="T24" s="7" t="s">
        <v>4093</v>
      </c>
    </row>
    <row r="25">
      <c r="A25" s="7" t="s">
        <v>2072</v>
      </c>
      <c r="B25" s="7" t="s">
        <v>2073</v>
      </c>
      <c r="C25" s="7" t="s">
        <v>1483</v>
      </c>
      <c r="D25" s="7" t="s">
        <v>2074</v>
      </c>
      <c r="E25" s="7" t="s">
        <v>3582</v>
      </c>
      <c r="F25" s="7" t="s">
        <v>3583</v>
      </c>
      <c r="G25" s="7" t="s">
        <v>3982</v>
      </c>
      <c r="H25" s="7" t="s">
        <v>3584</v>
      </c>
      <c r="I25" s="7" t="s">
        <v>3983</v>
      </c>
      <c r="J25" s="7">
        <v>7.2</v>
      </c>
      <c r="K25" s="7" t="str">
        <f>IFERROR(__xludf.DUMMYFUNCTION("IF(E25="""","""",TEXTJOIN(""|"",TRUE,FILTER('29_FUNCTION_STANDARD_MAP'!A$2:A$43,ISNUMBER(SEARCH(""|""&amp;E25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25" s="7" t="str">
        <f>IFERROR(__xludf.DUMMYFUNCTION("IF(E25="""","""",TEXTJOIN(""|"",TRUE,UNIQUE(FILTER('29_FUNCTION_STANDARD_MAP'!B$2:B$43,ISNUMBER(SEARCH(""|""&amp;E25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25" s="7" t="s">
        <v>1807</v>
      </c>
      <c r="N25" s="7" t="s">
        <v>2076</v>
      </c>
      <c r="O25" s="7" t="s">
        <v>1465</v>
      </c>
      <c r="P25" s="7">
        <v>2.0</v>
      </c>
      <c r="Q25" s="7" t="b">
        <v>1</v>
      </c>
      <c r="R25" s="7" t="s">
        <v>3558</v>
      </c>
      <c r="S25" s="7" t="s">
        <v>329</v>
      </c>
      <c r="T25" s="7" t="s">
        <v>4093</v>
      </c>
    </row>
    <row r="26">
      <c r="A26" s="7" t="s">
        <v>2077</v>
      </c>
      <c r="B26" s="7" t="s">
        <v>2078</v>
      </c>
      <c r="C26" s="7" t="s">
        <v>1483</v>
      </c>
      <c r="D26" s="7" t="s">
        <v>2079</v>
      </c>
      <c r="E26" s="7" t="s">
        <v>3582</v>
      </c>
      <c r="F26" s="7" t="s">
        <v>3583</v>
      </c>
      <c r="G26" s="7" t="s">
        <v>3982</v>
      </c>
      <c r="H26" s="7" t="s">
        <v>3584</v>
      </c>
      <c r="I26" s="7" t="s">
        <v>3983</v>
      </c>
      <c r="J26" s="7">
        <v>7.2</v>
      </c>
      <c r="K26" s="7" t="str">
        <f>IFERROR(__xludf.DUMMYFUNCTION("IF(E26="""","""",TEXTJOIN(""|"",TRUE,FILTER('29_FUNCTION_STANDARD_MAP'!A$2:A$43,ISNUMBER(SEARCH(""|""&amp;E26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26" s="7" t="str">
        <f>IFERROR(__xludf.DUMMYFUNCTION("IF(E26="""","""",TEXTJOIN(""|"",TRUE,UNIQUE(FILTER('29_FUNCTION_STANDARD_MAP'!B$2:B$43,ISNUMBER(SEARCH(""|""&amp;E26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26" s="7" t="s">
        <v>1807</v>
      </c>
      <c r="N26" s="7" t="s">
        <v>2081</v>
      </c>
      <c r="O26" s="7" t="s">
        <v>1465</v>
      </c>
      <c r="P26" s="7">
        <v>2.0</v>
      </c>
      <c r="Q26" s="7" t="b">
        <v>1</v>
      </c>
      <c r="R26" s="7" t="s">
        <v>3558</v>
      </c>
      <c r="S26" s="7" t="s">
        <v>329</v>
      </c>
      <c r="T26" s="7" t="s">
        <v>4093</v>
      </c>
    </row>
    <row r="27">
      <c r="A27" s="7" t="s">
        <v>2082</v>
      </c>
      <c r="B27" s="7" t="s">
        <v>2083</v>
      </c>
      <c r="C27" s="7" t="s">
        <v>1483</v>
      </c>
      <c r="D27" s="7" t="s">
        <v>2084</v>
      </c>
      <c r="E27" s="7" t="s">
        <v>3582</v>
      </c>
      <c r="F27" s="7" t="s">
        <v>3583</v>
      </c>
      <c r="G27" s="7" t="s">
        <v>3982</v>
      </c>
      <c r="H27" s="7" t="s">
        <v>3584</v>
      </c>
      <c r="I27" s="7" t="s">
        <v>3983</v>
      </c>
      <c r="J27" s="7">
        <v>7.2</v>
      </c>
      <c r="K27" s="7" t="str">
        <f>IFERROR(__xludf.DUMMYFUNCTION("IF(E27="""","""",TEXTJOIN(""|"",TRUE,FILTER('29_FUNCTION_STANDARD_MAP'!A$2:A$43,ISNUMBER(SEARCH(""|""&amp;E27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27" s="7" t="str">
        <f>IFERROR(__xludf.DUMMYFUNCTION("IF(E27="""","""",TEXTJOIN(""|"",TRUE,UNIQUE(FILTER('29_FUNCTION_STANDARD_MAP'!B$2:B$43,ISNUMBER(SEARCH(""|""&amp;E27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27" s="7" t="s">
        <v>1807</v>
      </c>
      <c r="N27" s="7" t="s">
        <v>2086</v>
      </c>
      <c r="O27" s="7" t="s">
        <v>1465</v>
      </c>
      <c r="P27" s="7">
        <v>2.0</v>
      </c>
      <c r="Q27" s="7" t="b">
        <v>1</v>
      </c>
      <c r="R27" s="7" t="s">
        <v>3558</v>
      </c>
      <c r="S27" s="7" t="s">
        <v>329</v>
      </c>
      <c r="T27" s="7" t="s">
        <v>4093</v>
      </c>
    </row>
    <row r="28">
      <c r="A28" s="7" t="s">
        <v>2088</v>
      </c>
      <c r="B28" s="7" t="s">
        <v>2089</v>
      </c>
      <c r="C28" s="7" t="s">
        <v>1483</v>
      </c>
      <c r="D28" s="7" t="s">
        <v>2090</v>
      </c>
      <c r="E28" s="7" t="s">
        <v>3582</v>
      </c>
      <c r="F28" s="7" t="s">
        <v>3583</v>
      </c>
      <c r="G28" s="7" t="s">
        <v>3982</v>
      </c>
      <c r="H28" s="7" t="s">
        <v>3584</v>
      </c>
      <c r="I28" s="7" t="s">
        <v>3983</v>
      </c>
      <c r="J28" s="7">
        <v>7.3</v>
      </c>
      <c r="K28" s="7" t="str">
        <f>IFERROR(__xludf.DUMMYFUNCTION("IF(E28="""","""",TEXTJOIN(""|"",TRUE,FILTER('29_FUNCTION_STANDARD_MAP'!A$2:A$43,ISNUMBER(SEARCH(""|""&amp;E28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28" s="7" t="str">
        <f>IFERROR(__xludf.DUMMYFUNCTION("IF(E28="""","""",TEXTJOIN(""|"",TRUE,UNIQUE(FILTER('29_FUNCTION_STANDARD_MAP'!B$2:B$43,ISNUMBER(SEARCH(""|""&amp;E28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28" s="7" t="s">
        <v>1807</v>
      </c>
      <c r="N28" s="7" t="s">
        <v>2092</v>
      </c>
      <c r="O28" s="7" t="s">
        <v>1465</v>
      </c>
      <c r="P28" s="7">
        <v>2.0</v>
      </c>
      <c r="Q28" s="7" t="b">
        <v>1</v>
      </c>
      <c r="R28" s="7" t="s">
        <v>3558</v>
      </c>
      <c r="S28" s="7" t="s">
        <v>329</v>
      </c>
      <c r="T28" s="7" t="s">
        <v>4093</v>
      </c>
    </row>
    <row r="29">
      <c r="A29" s="7" t="s">
        <v>2094</v>
      </c>
      <c r="B29" s="7" t="s">
        <v>2095</v>
      </c>
      <c r="C29" s="7" t="s">
        <v>1483</v>
      </c>
      <c r="D29" s="7" t="s">
        <v>2096</v>
      </c>
      <c r="E29" s="7" t="s">
        <v>3582</v>
      </c>
      <c r="F29" s="7" t="s">
        <v>3583</v>
      </c>
      <c r="G29" s="7" t="s">
        <v>3982</v>
      </c>
      <c r="H29" s="7" t="s">
        <v>3584</v>
      </c>
      <c r="I29" s="7" t="s">
        <v>3983</v>
      </c>
      <c r="J29" s="7" t="s">
        <v>2098</v>
      </c>
      <c r="K29" s="7" t="str">
        <f>IFERROR(__xludf.DUMMYFUNCTION("IF(E29="""","""",TEXTJOIN(""|"",TRUE,FILTER('29_FUNCTION_STANDARD_MAP'!A$2:A$43,ISNUMBER(SEARCH(""|""&amp;E29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29" s="7" t="str">
        <f>IFERROR(__xludf.DUMMYFUNCTION("IF(E29="""","""",TEXTJOIN(""|"",TRUE,UNIQUE(FILTER('29_FUNCTION_STANDARD_MAP'!B$2:B$43,ISNUMBER(SEARCH(""|""&amp;E29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29" s="7" t="s">
        <v>1807</v>
      </c>
      <c r="N29" s="7" t="s">
        <v>2099</v>
      </c>
      <c r="O29" s="7" t="s">
        <v>1452</v>
      </c>
      <c r="P29" s="7">
        <v>3.0</v>
      </c>
      <c r="Q29" s="7" t="b">
        <v>1</v>
      </c>
      <c r="R29" s="7" t="s">
        <v>3558</v>
      </c>
      <c r="S29" s="7" t="s">
        <v>329</v>
      </c>
      <c r="T29" s="7" t="s">
        <v>4093</v>
      </c>
    </row>
    <row r="30">
      <c r="A30" s="7" t="s">
        <v>2100</v>
      </c>
      <c r="B30" s="7" t="s">
        <v>2101</v>
      </c>
      <c r="C30" s="7" t="s">
        <v>1898</v>
      </c>
      <c r="D30" s="7" t="s">
        <v>2102</v>
      </c>
      <c r="E30" s="7" t="s">
        <v>3593</v>
      </c>
      <c r="F30" s="7" t="s">
        <v>3594</v>
      </c>
      <c r="G30" s="7" t="s">
        <v>3987</v>
      </c>
      <c r="H30" s="7" t="s">
        <v>3595</v>
      </c>
      <c r="I30" s="7" t="s">
        <v>3988</v>
      </c>
      <c r="J30" s="7" t="s">
        <v>2104</v>
      </c>
      <c r="K30" s="7" t="str">
        <f>IFERROR(__xludf.DUMMYFUNCTION("IF(E30="""","""",TEXTJOIN(""|"",TRUE,FILTER('29_FUNCTION_STANDARD_MAP'!A$2:A$43,ISNUMBER(SEARCH(""|""&amp;E30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30" s="7" t="str">
        <f>IFERROR(__xludf.DUMMYFUNCTION("IF(E30="""","""",TEXTJOIN(""|"",TRUE,UNIQUE(FILTER('29_FUNCTION_STANDARD_MAP'!B$2:B$43,ISNUMBER(SEARCH(""|""&amp;E30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30" s="7" t="s">
        <v>1807</v>
      </c>
      <c r="N30" s="7" t="s">
        <v>2105</v>
      </c>
      <c r="O30" s="7" t="s">
        <v>1452</v>
      </c>
      <c r="P30" s="7">
        <v>3.0</v>
      </c>
      <c r="Q30" s="7" t="b">
        <v>1</v>
      </c>
      <c r="R30" s="7" t="s">
        <v>3558</v>
      </c>
      <c r="S30" s="7" t="s">
        <v>329</v>
      </c>
      <c r="T30" s="7" t="s">
        <v>4093</v>
      </c>
    </row>
    <row r="31">
      <c r="A31" s="7" t="s">
        <v>2106</v>
      </c>
      <c r="B31" s="7" t="s">
        <v>2107</v>
      </c>
      <c r="C31" s="7" t="s">
        <v>1898</v>
      </c>
      <c r="D31" s="7" t="s">
        <v>2108</v>
      </c>
      <c r="E31" s="7" t="s">
        <v>3593</v>
      </c>
      <c r="F31" s="7" t="s">
        <v>3594</v>
      </c>
      <c r="G31" s="7" t="s">
        <v>3987</v>
      </c>
      <c r="H31" s="7" t="s">
        <v>3595</v>
      </c>
      <c r="I31" s="7" t="s">
        <v>3988</v>
      </c>
      <c r="J31" s="7">
        <v>8.2</v>
      </c>
      <c r="K31" s="7" t="str">
        <f>IFERROR(__xludf.DUMMYFUNCTION("IF(E31="""","""",TEXTJOIN(""|"",TRUE,FILTER('29_FUNCTION_STANDARD_MAP'!A$2:A$43,ISNUMBER(SEARCH(""|""&amp;E31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31" s="7" t="str">
        <f>IFERROR(__xludf.DUMMYFUNCTION("IF(E31="""","""",TEXTJOIN(""|"",TRUE,UNIQUE(FILTER('29_FUNCTION_STANDARD_MAP'!B$2:B$43,ISNUMBER(SEARCH(""|""&amp;E31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31" s="7" t="s">
        <v>1807</v>
      </c>
      <c r="N31" s="7" t="s">
        <v>2110</v>
      </c>
      <c r="O31" s="7" t="s">
        <v>1452</v>
      </c>
      <c r="P31" s="7">
        <v>3.0</v>
      </c>
      <c r="Q31" s="7" t="b">
        <v>1</v>
      </c>
      <c r="R31" s="7" t="s">
        <v>3558</v>
      </c>
      <c r="S31" s="7" t="s">
        <v>329</v>
      </c>
      <c r="T31" s="7" t="s">
        <v>4093</v>
      </c>
    </row>
    <row r="32">
      <c r="A32" s="7" t="s">
        <v>2112</v>
      </c>
      <c r="B32" s="7" t="s">
        <v>2113</v>
      </c>
      <c r="C32" s="7" t="s">
        <v>1898</v>
      </c>
      <c r="D32" s="7" t="s">
        <v>2114</v>
      </c>
      <c r="E32" s="7" t="s">
        <v>3593</v>
      </c>
      <c r="F32" s="7" t="s">
        <v>3594</v>
      </c>
      <c r="G32" s="7" t="s">
        <v>3987</v>
      </c>
      <c r="H32" s="7" t="s">
        <v>3595</v>
      </c>
      <c r="I32" s="7" t="s">
        <v>3988</v>
      </c>
      <c r="J32" s="7" t="s">
        <v>2116</v>
      </c>
      <c r="K32" s="7" t="str">
        <f>IFERROR(__xludf.DUMMYFUNCTION("IF(E32="""","""",TEXTJOIN(""|"",TRUE,FILTER('29_FUNCTION_STANDARD_MAP'!A$2:A$43,ISNUMBER(SEARCH(""|""&amp;E32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32" s="7" t="str">
        <f>IFERROR(__xludf.DUMMYFUNCTION("IF(E32="""","""",TEXTJOIN(""|"",TRUE,UNIQUE(FILTER('29_FUNCTION_STANDARD_MAP'!B$2:B$43,ISNUMBER(SEARCH(""|""&amp;E32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32" s="7" t="s">
        <v>1807</v>
      </c>
      <c r="N32" s="7" t="s">
        <v>2117</v>
      </c>
      <c r="O32" s="7" t="s">
        <v>1452</v>
      </c>
      <c r="P32" s="7">
        <v>3.0</v>
      </c>
      <c r="Q32" s="7" t="b">
        <v>1</v>
      </c>
      <c r="R32" s="7" t="s">
        <v>3558</v>
      </c>
      <c r="S32" s="7" t="s">
        <v>329</v>
      </c>
      <c r="T32" s="7" t="s">
        <v>4093</v>
      </c>
    </row>
    <row r="33">
      <c r="A33" s="7" t="s">
        <v>2118</v>
      </c>
      <c r="B33" s="7" t="s">
        <v>2119</v>
      </c>
      <c r="C33" s="7" t="s">
        <v>1898</v>
      </c>
      <c r="D33" s="7" t="s">
        <v>2120</v>
      </c>
      <c r="E33" s="7" t="s">
        <v>3593</v>
      </c>
      <c r="F33" s="7" t="s">
        <v>3594</v>
      </c>
      <c r="G33" s="7" t="s">
        <v>3987</v>
      </c>
      <c r="H33" s="7" t="s">
        <v>3595</v>
      </c>
      <c r="I33" s="7" t="s">
        <v>3988</v>
      </c>
      <c r="J33" s="7">
        <v>8.2</v>
      </c>
      <c r="K33" s="7" t="str">
        <f>IFERROR(__xludf.DUMMYFUNCTION("IF(E33="""","""",TEXTJOIN(""|"",TRUE,FILTER('29_FUNCTION_STANDARD_MAP'!A$2:A$43,ISNUMBER(SEARCH(""|""&amp;E33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33" s="7" t="str">
        <f>IFERROR(__xludf.DUMMYFUNCTION("IF(E33="""","""",TEXTJOIN(""|"",TRUE,UNIQUE(FILTER('29_FUNCTION_STANDARD_MAP'!B$2:B$43,ISNUMBER(SEARCH(""|""&amp;E33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33" s="7" t="s">
        <v>1807</v>
      </c>
      <c r="N33" s="7" t="s">
        <v>2122</v>
      </c>
      <c r="O33" s="7" t="s">
        <v>1465</v>
      </c>
      <c r="P33" s="7">
        <v>2.0</v>
      </c>
      <c r="Q33" s="7" t="b">
        <v>1</v>
      </c>
      <c r="R33" s="7" t="s">
        <v>3558</v>
      </c>
      <c r="S33" s="7" t="s">
        <v>329</v>
      </c>
      <c r="T33" s="7" t="s">
        <v>4093</v>
      </c>
    </row>
    <row r="34">
      <c r="A34" s="7" t="s">
        <v>2124</v>
      </c>
      <c r="B34" s="7" t="s">
        <v>2125</v>
      </c>
      <c r="C34" s="7" t="s">
        <v>1898</v>
      </c>
      <c r="D34" s="7" t="s">
        <v>2126</v>
      </c>
      <c r="E34" s="7" t="s">
        <v>3593</v>
      </c>
      <c r="F34" s="7" t="s">
        <v>3594</v>
      </c>
      <c r="G34" s="7" t="s">
        <v>3987</v>
      </c>
      <c r="H34" s="7" t="s">
        <v>3595</v>
      </c>
      <c r="I34" s="7" t="s">
        <v>3988</v>
      </c>
      <c r="J34" s="7" t="s">
        <v>2128</v>
      </c>
      <c r="K34" s="7" t="str">
        <f>IFERROR(__xludf.DUMMYFUNCTION("IF(E34="""","""",TEXTJOIN(""|"",TRUE,FILTER('29_FUNCTION_STANDARD_MAP'!A$2:A$43,ISNUMBER(SEARCH(""|""&amp;E34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34" s="7" t="str">
        <f>IFERROR(__xludf.DUMMYFUNCTION("IF(E34="""","""",TEXTJOIN(""|"",TRUE,UNIQUE(FILTER('29_FUNCTION_STANDARD_MAP'!B$2:B$43,ISNUMBER(SEARCH(""|""&amp;E34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34" s="7" t="s">
        <v>1807</v>
      </c>
      <c r="N34" s="7" t="s">
        <v>2129</v>
      </c>
      <c r="O34" s="7" t="s">
        <v>1465</v>
      </c>
      <c r="P34" s="7">
        <v>2.0</v>
      </c>
      <c r="Q34" s="7" t="b">
        <v>1</v>
      </c>
      <c r="R34" s="7" t="s">
        <v>3558</v>
      </c>
      <c r="S34" s="7" t="s">
        <v>329</v>
      </c>
      <c r="T34" s="7" t="s">
        <v>4093</v>
      </c>
    </row>
    <row r="35">
      <c r="A35" s="7" t="s">
        <v>2130</v>
      </c>
      <c r="B35" s="7" t="s">
        <v>2131</v>
      </c>
      <c r="C35" s="7" t="s">
        <v>1898</v>
      </c>
      <c r="D35" s="7" t="s">
        <v>2132</v>
      </c>
      <c r="E35" s="7" t="s">
        <v>3593</v>
      </c>
      <c r="F35" s="7" t="s">
        <v>3594</v>
      </c>
      <c r="G35" s="7" t="s">
        <v>3987</v>
      </c>
      <c r="H35" s="7" t="s">
        <v>3595</v>
      </c>
      <c r="I35" s="7" t="s">
        <v>3988</v>
      </c>
      <c r="J35" s="7" t="s">
        <v>1727</v>
      </c>
      <c r="K35" s="7" t="str">
        <f>IFERROR(__xludf.DUMMYFUNCTION("IF(E35="""","""",TEXTJOIN(""|"",TRUE,FILTER('29_FUNCTION_STANDARD_MAP'!A$2:A$43,ISNUMBER(SEARCH(""|""&amp;E35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35" s="7" t="str">
        <f>IFERROR(__xludf.DUMMYFUNCTION("IF(E35="""","""",TEXTJOIN(""|"",TRUE,UNIQUE(FILTER('29_FUNCTION_STANDARD_MAP'!B$2:B$43,ISNUMBER(SEARCH(""|""&amp;E35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35" s="7" t="s">
        <v>1807</v>
      </c>
      <c r="N35" s="7" t="s">
        <v>2134</v>
      </c>
      <c r="O35" s="7" t="s">
        <v>1452</v>
      </c>
      <c r="P35" s="7">
        <v>3.0</v>
      </c>
      <c r="Q35" s="7" t="b">
        <v>1</v>
      </c>
      <c r="R35" s="7" t="s">
        <v>3558</v>
      </c>
      <c r="S35" s="7" t="s">
        <v>329</v>
      </c>
      <c r="T35" s="7" t="s">
        <v>4093</v>
      </c>
    </row>
    <row r="36">
      <c r="A36" s="7" t="s">
        <v>2135</v>
      </c>
      <c r="B36" s="7" t="s">
        <v>2136</v>
      </c>
      <c r="C36" s="7" t="s">
        <v>1898</v>
      </c>
      <c r="D36" s="7" t="s">
        <v>2137</v>
      </c>
      <c r="E36" s="7" t="s">
        <v>3593</v>
      </c>
      <c r="F36" s="7" t="s">
        <v>3594</v>
      </c>
      <c r="G36" s="7" t="s">
        <v>3987</v>
      </c>
      <c r="H36" s="7" t="s">
        <v>3595</v>
      </c>
      <c r="I36" s="7" t="s">
        <v>3988</v>
      </c>
      <c r="J36" s="7">
        <v>8.6</v>
      </c>
      <c r="K36" s="7" t="str">
        <f>IFERROR(__xludf.DUMMYFUNCTION("IF(E36="""","""",TEXTJOIN(""|"",TRUE,FILTER('29_FUNCTION_STANDARD_MAP'!A$2:A$43,ISNUMBER(SEARCH(""|""&amp;E36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36" s="7" t="str">
        <f>IFERROR(__xludf.DUMMYFUNCTION("IF(E36="""","""",TEXTJOIN(""|"",TRUE,UNIQUE(FILTER('29_FUNCTION_STANDARD_MAP'!B$2:B$43,ISNUMBER(SEARCH(""|""&amp;E36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36" s="7" t="s">
        <v>1807</v>
      </c>
      <c r="N36" s="7" t="s">
        <v>2139</v>
      </c>
      <c r="O36" s="7" t="s">
        <v>1452</v>
      </c>
      <c r="P36" s="7">
        <v>3.0</v>
      </c>
      <c r="Q36" s="7" t="b">
        <v>1</v>
      </c>
      <c r="R36" s="7" t="s">
        <v>3558</v>
      </c>
      <c r="S36" s="7" t="s">
        <v>329</v>
      </c>
      <c r="T36" s="7" t="s">
        <v>4093</v>
      </c>
    </row>
    <row r="37">
      <c r="A37" s="7" t="s">
        <v>2141</v>
      </c>
      <c r="B37" s="7" t="s">
        <v>2142</v>
      </c>
      <c r="C37" s="7" t="s">
        <v>1898</v>
      </c>
      <c r="D37" s="7" t="s">
        <v>2143</v>
      </c>
      <c r="E37" s="7" t="s">
        <v>3593</v>
      </c>
      <c r="F37" s="7" t="s">
        <v>3594</v>
      </c>
      <c r="G37" s="7" t="s">
        <v>3987</v>
      </c>
      <c r="H37" s="7" t="s">
        <v>3595</v>
      </c>
      <c r="I37" s="7" t="s">
        <v>3988</v>
      </c>
      <c r="J37" s="7" t="s">
        <v>2145</v>
      </c>
      <c r="K37" s="7" t="str">
        <f>IFERROR(__xludf.DUMMYFUNCTION("IF(E37="""","""",TEXTJOIN(""|"",TRUE,FILTER('29_FUNCTION_STANDARD_MAP'!A$2:A$43,ISNUMBER(SEARCH(""|""&amp;E37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37" s="7" t="str">
        <f>IFERROR(__xludf.DUMMYFUNCTION("IF(E37="""","""",TEXTJOIN(""|"",TRUE,UNIQUE(FILTER('29_FUNCTION_STANDARD_MAP'!B$2:B$43,ISNUMBER(SEARCH(""|""&amp;E37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37" s="7" t="s">
        <v>1807</v>
      </c>
      <c r="N37" s="7" t="s">
        <v>2146</v>
      </c>
      <c r="O37" s="7" t="s">
        <v>1452</v>
      </c>
      <c r="P37" s="7">
        <v>3.0</v>
      </c>
      <c r="Q37" s="7" t="b">
        <v>1</v>
      </c>
      <c r="R37" s="7" t="s">
        <v>3558</v>
      </c>
      <c r="S37" s="7" t="s">
        <v>329</v>
      </c>
      <c r="T37" s="7" t="s">
        <v>4093</v>
      </c>
    </row>
    <row r="38">
      <c r="A38" s="7" t="s">
        <v>2148</v>
      </c>
      <c r="B38" s="7" t="s">
        <v>2149</v>
      </c>
      <c r="C38" s="7" t="s">
        <v>1898</v>
      </c>
      <c r="D38" s="7" t="s">
        <v>2150</v>
      </c>
      <c r="E38" s="7" t="s">
        <v>3593</v>
      </c>
      <c r="F38" s="7" t="s">
        <v>3594</v>
      </c>
      <c r="G38" s="7" t="s">
        <v>3987</v>
      </c>
      <c r="H38" s="7" t="s">
        <v>3595</v>
      </c>
      <c r="I38" s="7" t="s">
        <v>3988</v>
      </c>
      <c r="J38" s="7" t="s">
        <v>1765</v>
      </c>
      <c r="K38" s="7" t="str">
        <f>IFERROR(__xludf.DUMMYFUNCTION("IF(E38="""","""",TEXTJOIN(""|"",TRUE,FILTER('29_FUNCTION_STANDARD_MAP'!A$2:A$43,ISNUMBER(SEARCH(""|""&amp;E38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38" s="7" t="str">
        <f>IFERROR(__xludf.DUMMYFUNCTION("IF(E38="""","""",TEXTJOIN(""|"",TRUE,UNIQUE(FILTER('29_FUNCTION_STANDARD_MAP'!B$2:B$43,ISNUMBER(SEARCH(""|""&amp;E38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38" s="7" t="s">
        <v>1807</v>
      </c>
      <c r="N38" s="7" t="s">
        <v>2152</v>
      </c>
      <c r="O38" s="7" t="s">
        <v>1465</v>
      </c>
      <c r="P38" s="7">
        <v>2.0</v>
      </c>
      <c r="Q38" s="7" t="b">
        <v>1</v>
      </c>
      <c r="R38" s="7" t="s">
        <v>3558</v>
      </c>
      <c r="S38" s="7" t="s">
        <v>329</v>
      </c>
      <c r="T38" s="7" t="s">
        <v>4093</v>
      </c>
    </row>
    <row r="39">
      <c r="A39" s="7" t="s">
        <v>2154</v>
      </c>
      <c r="B39" s="7" t="s">
        <v>2155</v>
      </c>
      <c r="C39" s="7" t="s">
        <v>1898</v>
      </c>
      <c r="D39" s="7" t="s">
        <v>2156</v>
      </c>
      <c r="E39" s="7" t="s">
        <v>3593</v>
      </c>
      <c r="F39" s="7" t="s">
        <v>3594</v>
      </c>
      <c r="G39" s="7" t="s">
        <v>3987</v>
      </c>
      <c r="H39" s="7" t="s">
        <v>3595</v>
      </c>
      <c r="I39" s="7" t="s">
        <v>3988</v>
      </c>
      <c r="J39" s="7" t="s">
        <v>2158</v>
      </c>
      <c r="K39" s="7" t="str">
        <f>IFERROR(__xludf.DUMMYFUNCTION("IF(E39="""","""",TEXTJOIN(""|"",TRUE,FILTER('29_FUNCTION_STANDARD_MAP'!A$2:A$43,ISNUMBER(SEARCH(""|""&amp;E39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39" s="7" t="str">
        <f>IFERROR(__xludf.DUMMYFUNCTION("IF(E39="""","""",TEXTJOIN(""|"",TRUE,UNIQUE(FILTER('29_FUNCTION_STANDARD_MAP'!B$2:B$43,ISNUMBER(SEARCH(""|""&amp;E39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39" s="7" t="s">
        <v>1807</v>
      </c>
      <c r="N39" s="7" t="s">
        <v>2159</v>
      </c>
      <c r="O39" s="7" t="s">
        <v>1452</v>
      </c>
      <c r="P39" s="7">
        <v>3.0</v>
      </c>
      <c r="Q39" s="7" t="b">
        <v>1</v>
      </c>
      <c r="R39" s="7" t="s">
        <v>3558</v>
      </c>
      <c r="S39" s="7" t="s">
        <v>329</v>
      </c>
      <c r="T39" s="7" t="s">
        <v>4093</v>
      </c>
    </row>
    <row r="40">
      <c r="A40" s="7" t="s">
        <v>2160</v>
      </c>
      <c r="B40" s="7" t="s">
        <v>2161</v>
      </c>
      <c r="C40" s="7" t="s">
        <v>1883</v>
      </c>
      <c r="D40" s="7" t="s">
        <v>2162</v>
      </c>
      <c r="E40" s="7" t="s">
        <v>3606</v>
      </c>
      <c r="F40" s="7" t="s">
        <v>3607</v>
      </c>
      <c r="G40" s="7" t="s">
        <v>3992</v>
      </c>
      <c r="H40" s="7" t="s">
        <v>3608</v>
      </c>
      <c r="I40" s="7" t="s">
        <v>3993</v>
      </c>
      <c r="J40" s="7" t="s">
        <v>1659</v>
      </c>
      <c r="K40" s="7" t="str">
        <f>IFERROR(__xludf.DUMMYFUNCTION("IF(E40="""","""",TEXTJOIN(""|"",TRUE,FILTER('29_FUNCTION_STANDARD_MAP'!A$2:A$43,ISNUMBER(SEARCH(""|""&amp;E40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40" s="7" t="str">
        <f>IFERROR(__xludf.DUMMYFUNCTION("IF(E40="""","""",TEXTJOIN(""|"",TRUE,UNIQUE(FILTER('29_FUNCTION_STANDARD_MAP'!B$2:B$43,ISNUMBER(SEARCH(""|""&amp;E40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40" s="7" t="s">
        <v>1807</v>
      </c>
      <c r="N40" s="7" t="s">
        <v>2164</v>
      </c>
      <c r="O40" s="7" t="s">
        <v>1452</v>
      </c>
      <c r="P40" s="7">
        <v>3.0</v>
      </c>
      <c r="Q40" s="7" t="b">
        <v>1</v>
      </c>
      <c r="R40" s="7" t="s">
        <v>3558</v>
      </c>
      <c r="S40" s="7" t="s">
        <v>329</v>
      </c>
      <c r="T40" s="7" t="s">
        <v>4093</v>
      </c>
    </row>
    <row r="41">
      <c r="A41" s="7" t="s">
        <v>2165</v>
      </c>
      <c r="B41" s="7" t="s">
        <v>2166</v>
      </c>
      <c r="C41" s="7" t="s">
        <v>1883</v>
      </c>
      <c r="D41" s="7" t="s">
        <v>2167</v>
      </c>
      <c r="E41" s="7" t="s">
        <v>3606</v>
      </c>
      <c r="F41" s="7" t="s">
        <v>3607</v>
      </c>
      <c r="G41" s="7" t="s">
        <v>3992</v>
      </c>
      <c r="H41" s="7" t="s">
        <v>3608</v>
      </c>
      <c r="I41" s="7" t="s">
        <v>3993</v>
      </c>
      <c r="J41" s="7" t="s">
        <v>1659</v>
      </c>
      <c r="K41" s="7" t="str">
        <f>IFERROR(__xludf.DUMMYFUNCTION("IF(E41="""","""",TEXTJOIN(""|"",TRUE,FILTER('29_FUNCTION_STANDARD_MAP'!A$2:A$43,ISNUMBER(SEARCH(""|""&amp;E41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41" s="7" t="str">
        <f>IFERROR(__xludf.DUMMYFUNCTION("IF(E41="""","""",TEXTJOIN(""|"",TRUE,UNIQUE(FILTER('29_FUNCTION_STANDARD_MAP'!B$2:B$43,ISNUMBER(SEARCH(""|""&amp;E41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41" s="7" t="s">
        <v>1807</v>
      </c>
      <c r="N41" s="7" t="s">
        <v>2169</v>
      </c>
      <c r="O41" s="7" t="s">
        <v>1452</v>
      </c>
      <c r="P41" s="7">
        <v>3.0</v>
      </c>
      <c r="Q41" s="7" t="b">
        <v>1</v>
      </c>
      <c r="R41" s="7" t="s">
        <v>3558</v>
      </c>
      <c r="S41" s="7" t="s">
        <v>329</v>
      </c>
      <c r="T41" s="7" t="s">
        <v>4093</v>
      </c>
    </row>
    <row r="42">
      <c r="A42" s="7" t="s">
        <v>2170</v>
      </c>
      <c r="B42" s="7" t="s">
        <v>2171</v>
      </c>
      <c r="C42" s="7" t="s">
        <v>1883</v>
      </c>
      <c r="D42" s="7" t="s">
        <v>2172</v>
      </c>
      <c r="E42" s="7" t="s">
        <v>3606</v>
      </c>
      <c r="F42" s="7" t="s">
        <v>3607</v>
      </c>
      <c r="G42" s="7" t="s">
        <v>3992</v>
      </c>
      <c r="H42" s="7" t="s">
        <v>3608</v>
      </c>
      <c r="I42" s="7" t="s">
        <v>3993</v>
      </c>
      <c r="J42" s="7" t="s">
        <v>2174</v>
      </c>
      <c r="K42" s="7" t="str">
        <f>IFERROR(__xludf.DUMMYFUNCTION("IF(E42="""","""",TEXTJOIN(""|"",TRUE,FILTER('29_FUNCTION_STANDARD_MAP'!A$2:A$43,ISNUMBER(SEARCH(""|""&amp;E42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42" s="7" t="str">
        <f>IFERROR(__xludf.DUMMYFUNCTION("IF(E42="""","""",TEXTJOIN(""|"",TRUE,UNIQUE(FILTER('29_FUNCTION_STANDARD_MAP'!B$2:B$43,ISNUMBER(SEARCH(""|""&amp;E42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42" s="7" t="s">
        <v>1807</v>
      </c>
      <c r="N42" s="7" t="s">
        <v>2175</v>
      </c>
      <c r="O42" s="7" t="s">
        <v>1452</v>
      </c>
      <c r="P42" s="7">
        <v>3.0</v>
      </c>
      <c r="Q42" s="7" t="b">
        <v>1</v>
      </c>
      <c r="R42" s="7" t="s">
        <v>3558</v>
      </c>
      <c r="S42" s="7" t="s">
        <v>329</v>
      </c>
      <c r="T42" s="7" t="s">
        <v>4093</v>
      </c>
    </row>
    <row r="43">
      <c r="A43" s="7" t="s">
        <v>2177</v>
      </c>
      <c r="B43" s="7" t="s">
        <v>2178</v>
      </c>
      <c r="C43" s="7" t="s">
        <v>1883</v>
      </c>
      <c r="D43" s="7" t="s">
        <v>2179</v>
      </c>
      <c r="E43" s="7" t="s">
        <v>3606</v>
      </c>
      <c r="F43" s="7" t="s">
        <v>3607</v>
      </c>
      <c r="G43" s="7" t="s">
        <v>3992</v>
      </c>
      <c r="H43" s="7" t="s">
        <v>3608</v>
      </c>
      <c r="I43" s="7" t="s">
        <v>3993</v>
      </c>
      <c r="J43" s="7" t="s">
        <v>1659</v>
      </c>
      <c r="K43" s="7" t="str">
        <f>IFERROR(__xludf.DUMMYFUNCTION("IF(E43="""","""",TEXTJOIN(""|"",TRUE,FILTER('29_FUNCTION_STANDARD_MAP'!A$2:A$43,ISNUMBER(SEARCH(""|""&amp;E43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43" s="7" t="str">
        <f>IFERROR(__xludf.DUMMYFUNCTION("IF(E43="""","""",TEXTJOIN(""|"",TRUE,UNIQUE(FILTER('29_FUNCTION_STANDARD_MAP'!B$2:B$43,ISNUMBER(SEARCH(""|""&amp;E43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43" s="7" t="s">
        <v>1807</v>
      </c>
      <c r="N43" s="7" t="s">
        <v>2181</v>
      </c>
      <c r="O43" s="7" t="s">
        <v>1452</v>
      </c>
      <c r="P43" s="7">
        <v>3.0</v>
      </c>
      <c r="Q43" s="7" t="b">
        <v>1</v>
      </c>
      <c r="R43" s="7" t="s">
        <v>3558</v>
      </c>
      <c r="S43" s="7" t="s">
        <v>329</v>
      </c>
      <c r="T43" s="7" t="s">
        <v>4093</v>
      </c>
    </row>
    <row r="44">
      <c r="A44" s="7" t="s">
        <v>2183</v>
      </c>
      <c r="B44" s="7" t="s">
        <v>2184</v>
      </c>
      <c r="C44" s="7" t="s">
        <v>1883</v>
      </c>
      <c r="D44" s="7" t="s">
        <v>2185</v>
      </c>
      <c r="E44" s="7" t="s">
        <v>3606</v>
      </c>
      <c r="F44" s="7" t="s">
        <v>3607</v>
      </c>
      <c r="G44" s="7" t="s">
        <v>3992</v>
      </c>
      <c r="H44" s="7" t="s">
        <v>3608</v>
      </c>
      <c r="I44" s="7" t="s">
        <v>3993</v>
      </c>
      <c r="J44" s="7" t="s">
        <v>2187</v>
      </c>
      <c r="K44" s="7" t="str">
        <f>IFERROR(__xludf.DUMMYFUNCTION("IF(E44="""","""",TEXTJOIN(""|"",TRUE,FILTER('29_FUNCTION_STANDARD_MAP'!A$2:A$43,ISNUMBER(SEARCH(""|""&amp;E44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44" s="7" t="str">
        <f>IFERROR(__xludf.DUMMYFUNCTION("IF(E44="""","""",TEXTJOIN(""|"",TRUE,UNIQUE(FILTER('29_FUNCTION_STANDARD_MAP'!B$2:B$43,ISNUMBER(SEARCH(""|""&amp;E44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44" s="7" t="s">
        <v>1807</v>
      </c>
      <c r="N44" s="7" t="s">
        <v>2188</v>
      </c>
      <c r="O44" s="7" t="s">
        <v>1465</v>
      </c>
      <c r="P44" s="7">
        <v>2.0</v>
      </c>
      <c r="Q44" s="7" t="b">
        <v>1</v>
      </c>
      <c r="R44" s="7" t="s">
        <v>3558</v>
      </c>
      <c r="S44" s="7" t="s">
        <v>329</v>
      </c>
      <c r="T44" s="7" t="s">
        <v>4093</v>
      </c>
    </row>
    <row r="45">
      <c r="A45" s="7" t="s">
        <v>2190</v>
      </c>
      <c r="B45" s="7" t="s">
        <v>2191</v>
      </c>
      <c r="C45" s="7" t="s">
        <v>1883</v>
      </c>
      <c r="D45" s="7" t="s">
        <v>2192</v>
      </c>
      <c r="E45" s="7" t="s">
        <v>3606</v>
      </c>
      <c r="F45" s="7" t="s">
        <v>3607</v>
      </c>
      <c r="G45" s="7" t="s">
        <v>3992</v>
      </c>
      <c r="H45" s="7" t="s">
        <v>3608</v>
      </c>
      <c r="I45" s="7" t="s">
        <v>3993</v>
      </c>
      <c r="J45" s="7" t="s">
        <v>1669</v>
      </c>
      <c r="K45" s="7" t="str">
        <f>IFERROR(__xludf.DUMMYFUNCTION("IF(E45="""","""",TEXTJOIN(""|"",TRUE,FILTER('29_FUNCTION_STANDARD_MAP'!A$2:A$43,ISNUMBER(SEARCH(""|""&amp;E45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45" s="7" t="str">
        <f>IFERROR(__xludf.DUMMYFUNCTION("IF(E45="""","""",TEXTJOIN(""|"",TRUE,UNIQUE(FILTER('29_FUNCTION_STANDARD_MAP'!B$2:B$43,ISNUMBER(SEARCH(""|""&amp;E45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45" s="7" t="s">
        <v>1807</v>
      </c>
      <c r="N45" s="7" t="s">
        <v>2194</v>
      </c>
      <c r="O45" s="7" t="s">
        <v>1452</v>
      </c>
      <c r="P45" s="7">
        <v>3.0</v>
      </c>
      <c r="Q45" s="7" t="b">
        <v>1</v>
      </c>
      <c r="R45" s="7" t="s">
        <v>3558</v>
      </c>
      <c r="S45" s="7" t="s">
        <v>329</v>
      </c>
      <c r="T45" s="7" t="s">
        <v>4093</v>
      </c>
    </row>
    <row r="46">
      <c r="A46" s="7" t="s">
        <v>2195</v>
      </c>
      <c r="B46" s="7" t="s">
        <v>2196</v>
      </c>
      <c r="C46" s="7" t="s">
        <v>1883</v>
      </c>
      <c r="D46" s="7" t="s">
        <v>2197</v>
      </c>
      <c r="E46" s="7" t="s">
        <v>3606</v>
      </c>
      <c r="F46" s="7" t="s">
        <v>3607</v>
      </c>
      <c r="G46" s="7" t="s">
        <v>3992</v>
      </c>
      <c r="H46" s="7" t="s">
        <v>3608</v>
      </c>
      <c r="I46" s="7" t="s">
        <v>3993</v>
      </c>
      <c r="J46" s="7" t="s">
        <v>1664</v>
      </c>
      <c r="K46" s="7" t="str">
        <f>IFERROR(__xludf.DUMMYFUNCTION("IF(E46="""","""",TEXTJOIN(""|"",TRUE,FILTER('29_FUNCTION_STANDARD_MAP'!A$2:A$43,ISNUMBER(SEARCH(""|""&amp;E46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46" s="7" t="str">
        <f>IFERROR(__xludf.DUMMYFUNCTION("IF(E46="""","""",TEXTJOIN(""|"",TRUE,UNIQUE(FILTER('29_FUNCTION_STANDARD_MAP'!B$2:B$43,ISNUMBER(SEARCH(""|""&amp;E46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46" s="7" t="s">
        <v>1807</v>
      </c>
      <c r="N46" s="7" t="s">
        <v>2199</v>
      </c>
      <c r="O46" s="7" t="s">
        <v>1452</v>
      </c>
      <c r="P46" s="7">
        <v>3.0</v>
      </c>
      <c r="Q46" s="7" t="b">
        <v>1</v>
      </c>
      <c r="R46" s="7" t="s">
        <v>3558</v>
      </c>
      <c r="S46" s="7" t="s">
        <v>329</v>
      </c>
      <c r="T46" s="7" t="s">
        <v>4093</v>
      </c>
    </row>
    <row r="47">
      <c r="A47" s="7" t="s">
        <v>2201</v>
      </c>
      <c r="B47" s="7" t="s">
        <v>2202</v>
      </c>
      <c r="C47" s="7" t="s">
        <v>1883</v>
      </c>
      <c r="D47" s="7" t="s">
        <v>2203</v>
      </c>
      <c r="E47" s="7" t="s">
        <v>3606</v>
      </c>
      <c r="F47" s="7" t="s">
        <v>3607</v>
      </c>
      <c r="G47" s="7" t="s">
        <v>3992</v>
      </c>
      <c r="H47" s="7" t="s">
        <v>3608</v>
      </c>
      <c r="I47" s="7" t="s">
        <v>3993</v>
      </c>
      <c r="J47" s="7" t="s">
        <v>2205</v>
      </c>
      <c r="K47" s="7" t="str">
        <f>IFERROR(__xludf.DUMMYFUNCTION("IF(E47="""","""",TEXTJOIN(""|"",TRUE,FILTER('29_FUNCTION_STANDARD_MAP'!A$2:A$43,ISNUMBER(SEARCH(""|""&amp;E47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47" s="7" t="str">
        <f>IFERROR(__xludf.DUMMYFUNCTION("IF(E47="""","""",TEXTJOIN(""|"",TRUE,UNIQUE(FILTER('29_FUNCTION_STANDARD_MAP'!B$2:B$43,ISNUMBER(SEARCH(""|""&amp;E47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47" s="7" t="s">
        <v>1807</v>
      </c>
      <c r="N47" s="7" t="s">
        <v>2206</v>
      </c>
      <c r="O47" s="7" t="s">
        <v>1452</v>
      </c>
      <c r="P47" s="7">
        <v>3.0</v>
      </c>
      <c r="Q47" s="7" t="b">
        <v>1</v>
      </c>
      <c r="R47" s="7" t="s">
        <v>3558</v>
      </c>
      <c r="S47" s="7" t="s">
        <v>329</v>
      </c>
      <c r="T47" s="7" t="s">
        <v>4093</v>
      </c>
    </row>
    <row r="48">
      <c r="A48" s="7" t="s">
        <v>2207</v>
      </c>
      <c r="B48" s="7" t="s">
        <v>2208</v>
      </c>
      <c r="C48" s="7" t="s">
        <v>2209</v>
      </c>
      <c r="D48" s="7" t="s">
        <v>2210</v>
      </c>
      <c r="E48" s="7" t="s">
        <v>3617</v>
      </c>
      <c r="F48" s="7" t="s">
        <v>3618</v>
      </c>
      <c r="G48" s="7" t="s">
        <v>3997</v>
      </c>
      <c r="H48" s="7" t="s">
        <v>3619</v>
      </c>
      <c r="I48" s="7" t="s">
        <v>3998</v>
      </c>
      <c r="J48" s="7" t="s">
        <v>2212</v>
      </c>
      <c r="K48" s="7" t="str">
        <f>IFERROR(__xludf.DUMMYFUNCTION("IF(E48="""","""",TEXTJOIN(""|"",TRUE,FILTER('29_FUNCTION_STANDARD_MAP'!A$2:A$43,ISNUMBER(SEARCH(""|""&amp;E48&amp;""|"",""|""&amp;'29_FUNCTION_STANDARD_MAP'!E$2:E$43&amp;""|"")))))"),"F-WD2-01|F-BAKPK-02|F-BUK-01|F-BUK-04")</f>
        <v>F-WD2-01|F-BAKPK-02|F-BUK-01|F-BUK-04</v>
      </c>
      <c r="L48" s="7" t="str">
        <f>IFERROR(__xludf.DUMMYFUNCTION("IF(E48="""","""",TEXTJOIN(""|"",TRUE,UNIQUE(FILTER('29_FUNCTION_STANDARD_MAP'!B$2:B$43,ISNUMBER(SEARCH(""|""&amp;E48&amp;""|"",""|""&amp;'29_FUNCTION_STANDARD_MAP'!E$2:E$43&amp;""|""))))))"),"WADIR2|BAG_AKPK|BAG_UK")</f>
        <v>WADIR2|BAG_AKPK|BAG_UK</v>
      </c>
      <c r="M48" s="7" t="s">
        <v>2209</v>
      </c>
      <c r="N48" s="7" t="s">
        <v>2213</v>
      </c>
      <c r="O48" s="7" t="s">
        <v>1452</v>
      </c>
      <c r="P48" s="7">
        <v>3.0</v>
      </c>
      <c r="Q48" s="7" t="b">
        <v>1</v>
      </c>
      <c r="R48" s="7" t="s">
        <v>3558</v>
      </c>
      <c r="S48" s="7" t="s">
        <v>329</v>
      </c>
      <c r="T48" s="7" t="s">
        <v>4093</v>
      </c>
    </row>
    <row r="49">
      <c r="A49" s="7" t="s">
        <v>2214</v>
      </c>
      <c r="B49" s="7" t="s">
        <v>2215</v>
      </c>
      <c r="C49" s="7" t="s">
        <v>2209</v>
      </c>
      <c r="D49" s="7" t="s">
        <v>2216</v>
      </c>
      <c r="E49" s="7" t="s">
        <v>3617</v>
      </c>
      <c r="F49" s="7" t="s">
        <v>3618</v>
      </c>
      <c r="G49" s="7" t="s">
        <v>3997</v>
      </c>
      <c r="H49" s="7" t="s">
        <v>3619</v>
      </c>
      <c r="I49" s="7" t="s">
        <v>3998</v>
      </c>
      <c r="J49" s="7">
        <v>8.4</v>
      </c>
      <c r="K49" s="7" t="str">
        <f>IFERROR(__xludf.DUMMYFUNCTION("IF(E49="""","""",TEXTJOIN(""|"",TRUE,FILTER('29_FUNCTION_STANDARD_MAP'!A$2:A$43,ISNUMBER(SEARCH(""|""&amp;E49&amp;""|"",""|""&amp;'29_FUNCTION_STANDARD_MAP'!E$2:E$43&amp;""|"")))))"),"F-WD2-01|F-BAKPK-02|F-BUK-01|F-BUK-04")</f>
        <v>F-WD2-01|F-BAKPK-02|F-BUK-01|F-BUK-04</v>
      </c>
      <c r="L49" s="7" t="str">
        <f>IFERROR(__xludf.DUMMYFUNCTION("IF(E49="""","""",TEXTJOIN(""|"",TRUE,UNIQUE(FILTER('29_FUNCTION_STANDARD_MAP'!B$2:B$43,ISNUMBER(SEARCH(""|""&amp;E49&amp;""|"",""|""&amp;'29_FUNCTION_STANDARD_MAP'!E$2:E$43&amp;""|""))))))"),"WADIR2|BAG_AKPK|BAG_UK")</f>
        <v>WADIR2|BAG_AKPK|BAG_UK</v>
      </c>
      <c r="M49" s="7" t="s">
        <v>2209</v>
      </c>
      <c r="N49" s="7" t="s">
        <v>2218</v>
      </c>
      <c r="O49" s="7" t="s">
        <v>1452</v>
      </c>
      <c r="P49" s="7">
        <v>3.0</v>
      </c>
      <c r="Q49" s="7" t="b">
        <v>1</v>
      </c>
      <c r="R49" s="7" t="s">
        <v>3558</v>
      </c>
      <c r="S49" s="7" t="s">
        <v>329</v>
      </c>
      <c r="T49" s="7" t="s">
        <v>4093</v>
      </c>
    </row>
    <row r="50">
      <c r="A50" s="7" t="s">
        <v>2220</v>
      </c>
      <c r="B50" s="7" t="s">
        <v>2221</v>
      </c>
      <c r="C50" s="7" t="s">
        <v>2209</v>
      </c>
      <c r="D50" s="7" t="s">
        <v>2222</v>
      </c>
      <c r="E50" s="7" t="s">
        <v>3617</v>
      </c>
      <c r="F50" s="7" t="s">
        <v>3618</v>
      </c>
      <c r="G50" s="7" t="s">
        <v>3997</v>
      </c>
      <c r="H50" s="7" t="s">
        <v>3619</v>
      </c>
      <c r="I50" s="7" t="s">
        <v>3998</v>
      </c>
      <c r="J50" s="7">
        <v>8.4</v>
      </c>
      <c r="K50" s="7" t="str">
        <f>IFERROR(__xludf.DUMMYFUNCTION("IF(E50="""","""",TEXTJOIN(""|"",TRUE,FILTER('29_FUNCTION_STANDARD_MAP'!A$2:A$43,ISNUMBER(SEARCH(""|""&amp;E50&amp;""|"",""|""&amp;'29_FUNCTION_STANDARD_MAP'!E$2:E$43&amp;""|"")))))"),"F-WD2-01|F-BAKPK-02|F-BUK-01|F-BUK-04")</f>
        <v>F-WD2-01|F-BAKPK-02|F-BUK-01|F-BUK-04</v>
      </c>
      <c r="L50" s="7" t="str">
        <f>IFERROR(__xludf.DUMMYFUNCTION("IF(E50="""","""",TEXTJOIN(""|"",TRUE,UNIQUE(FILTER('29_FUNCTION_STANDARD_MAP'!B$2:B$43,ISNUMBER(SEARCH(""|""&amp;E50&amp;""|"",""|""&amp;'29_FUNCTION_STANDARD_MAP'!E$2:E$43&amp;""|""))))))"),"WADIR2|BAG_AKPK|BAG_UK")</f>
        <v>WADIR2|BAG_AKPK|BAG_UK</v>
      </c>
      <c r="M50" s="7" t="s">
        <v>2209</v>
      </c>
      <c r="N50" s="7" t="s">
        <v>2224</v>
      </c>
      <c r="O50" s="7" t="s">
        <v>1452</v>
      </c>
      <c r="P50" s="7">
        <v>3.0</v>
      </c>
      <c r="Q50" s="7" t="b">
        <v>1</v>
      </c>
      <c r="R50" s="7" t="s">
        <v>3558</v>
      </c>
      <c r="S50" s="7" t="s">
        <v>329</v>
      </c>
      <c r="T50" s="7" t="s">
        <v>4093</v>
      </c>
    </row>
    <row r="51">
      <c r="A51" s="7" t="s">
        <v>2225</v>
      </c>
      <c r="B51" s="7" t="s">
        <v>2226</v>
      </c>
      <c r="C51" s="7" t="s">
        <v>2209</v>
      </c>
      <c r="D51" s="7" t="s">
        <v>2227</v>
      </c>
      <c r="E51" s="7" t="s">
        <v>3617</v>
      </c>
      <c r="F51" s="7" t="s">
        <v>3618</v>
      </c>
      <c r="G51" s="7" t="s">
        <v>3997</v>
      </c>
      <c r="H51" s="7" t="s">
        <v>3619</v>
      </c>
      <c r="I51" s="7" t="s">
        <v>3998</v>
      </c>
      <c r="J51" s="7" t="s">
        <v>2229</v>
      </c>
      <c r="K51" s="7" t="str">
        <f>IFERROR(__xludf.DUMMYFUNCTION("IF(E51="""","""",TEXTJOIN(""|"",TRUE,FILTER('29_FUNCTION_STANDARD_MAP'!A$2:A$43,ISNUMBER(SEARCH(""|""&amp;E51&amp;""|"",""|""&amp;'29_FUNCTION_STANDARD_MAP'!E$2:E$43&amp;""|"")))))"),"F-WD2-01|F-BAKPK-02|F-BUK-01|F-BUK-04")</f>
        <v>F-WD2-01|F-BAKPK-02|F-BUK-01|F-BUK-04</v>
      </c>
      <c r="L51" s="7" t="str">
        <f>IFERROR(__xludf.DUMMYFUNCTION("IF(E51="""","""",TEXTJOIN(""|"",TRUE,UNIQUE(FILTER('29_FUNCTION_STANDARD_MAP'!B$2:B$43,ISNUMBER(SEARCH(""|""&amp;E51&amp;""|"",""|""&amp;'29_FUNCTION_STANDARD_MAP'!E$2:E$43&amp;""|""))))))"),"WADIR2|BAG_AKPK|BAG_UK")</f>
        <v>WADIR2|BAG_AKPK|BAG_UK</v>
      </c>
      <c r="M51" s="7" t="s">
        <v>2209</v>
      </c>
      <c r="N51" s="7" t="s">
        <v>2230</v>
      </c>
      <c r="O51" s="7" t="s">
        <v>1452</v>
      </c>
      <c r="P51" s="7">
        <v>3.0</v>
      </c>
      <c r="Q51" s="7" t="b">
        <v>1</v>
      </c>
      <c r="R51" s="7" t="s">
        <v>3558</v>
      </c>
      <c r="S51" s="7" t="s">
        <v>329</v>
      </c>
      <c r="T51" s="7" t="s">
        <v>4093</v>
      </c>
    </row>
    <row r="52">
      <c r="A52" s="7" t="s">
        <v>2231</v>
      </c>
      <c r="B52" s="7" t="s">
        <v>2232</v>
      </c>
      <c r="C52" s="7" t="s">
        <v>2209</v>
      </c>
      <c r="D52" s="7" t="s">
        <v>2233</v>
      </c>
      <c r="E52" s="7" t="s">
        <v>3617</v>
      </c>
      <c r="F52" s="7" t="s">
        <v>3618</v>
      </c>
      <c r="G52" s="7" t="s">
        <v>3997</v>
      </c>
      <c r="H52" s="7" t="s">
        <v>3619</v>
      </c>
      <c r="I52" s="7" t="s">
        <v>3998</v>
      </c>
      <c r="J52" s="7" t="s">
        <v>2235</v>
      </c>
      <c r="K52" s="7" t="str">
        <f>IFERROR(__xludf.DUMMYFUNCTION("IF(E52="""","""",TEXTJOIN(""|"",TRUE,FILTER('29_FUNCTION_STANDARD_MAP'!A$2:A$43,ISNUMBER(SEARCH(""|""&amp;E52&amp;""|"",""|""&amp;'29_FUNCTION_STANDARD_MAP'!E$2:E$43&amp;""|"")))))"),"F-WD2-01|F-BAKPK-02|F-BUK-01|F-BUK-04")</f>
        <v>F-WD2-01|F-BAKPK-02|F-BUK-01|F-BUK-04</v>
      </c>
      <c r="L52" s="7" t="str">
        <f>IFERROR(__xludf.DUMMYFUNCTION("IF(E52="""","""",TEXTJOIN(""|"",TRUE,UNIQUE(FILTER('29_FUNCTION_STANDARD_MAP'!B$2:B$43,ISNUMBER(SEARCH(""|""&amp;E52&amp;""|"",""|""&amp;'29_FUNCTION_STANDARD_MAP'!E$2:E$43&amp;""|""))))))"),"WADIR2|BAG_AKPK|BAG_UK")</f>
        <v>WADIR2|BAG_AKPK|BAG_UK</v>
      </c>
      <c r="M52" s="7" t="s">
        <v>2209</v>
      </c>
      <c r="N52" s="7" t="s">
        <v>2236</v>
      </c>
      <c r="O52" s="7" t="s">
        <v>1465</v>
      </c>
      <c r="P52" s="7">
        <v>2.0</v>
      </c>
      <c r="Q52" s="7" t="b">
        <v>1</v>
      </c>
      <c r="R52" s="7" t="s">
        <v>3558</v>
      </c>
      <c r="S52" s="7" t="s">
        <v>329</v>
      </c>
      <c r="T52" s="7" t="s">
        <v>4093</v>
      </c>
    </row>
    <row r="53">
      <c r="A53" s="7" t="s">
        <v>2237</v>
      </c>
      <c r="B53" s="7" t="s">
        <v>2238</v>
      </c>
      <c r="C53" s="7" t="s">
        <v>2209</v>
      </c>
      <c r="D53" s="7" t="s">
        <v>2239</v>
      </c>
      <c r="E53" s="7" t="s">
        <v>3617</v>
      </c>
      <c r="F53" s="7" t="s">
        <v>3618</v>
      </c>
      <c r="G53" s="7" t="s">
        <v>3997</v>
      </c>
      <c r="H53" s="7" t="s">
        <v>3619</v>
      </c>
      <c r="I53" s="7" t="s">
        <v>3998</v>
      </c>
      <c r="J53" s="7">
        <v>8.4</v>
      </c>
      <c r="K53" s="7" t="str">
        <f>IFERROR(__xludf.DUMMYFUNCTION("IF(E53="""","""",TEXTJOIN(""|"",TRUE,FILTER('29_FUNCTION_STANDARD_MAP'!A$2:A$43,ISNUMBER(SEARCH(""|""&amp;E53&amp;""|"",""|""&amp;'29_FUNCTION_STANDARD_MAP'!E$2:E$43&amp;""|"")))))"),"F-WD2-01|F-BAKPK-02|F-BUK-01|F-BUK-04")</f>
        <v>F-WD2-01|F-BAKPK-02|F-BUK-01|F-BUK-04</v>
      </c>
      <c r="L53" s="7" t="str">
        <f>IFERROR(__xludf.DUMMYFUNCTION("IF(E53="""","""",TEXTJOIN(""|"",TRUE,UNIQUE(FILTER('29_FUNCTION_STANDARD_MAP'!B$2:B$43,ISNUMBER(SEARCH(""|""&amp;E53&amp;""|"",""|""&amp;'29_FUNCTION_STANDARD_MAP'!E$2:E$43&amp;""|""))))))"),"WADIR2|BAG_AKPK|BAG_UK")</f>
        <v>WADIR2|BAG_AKPK|BAG_UK</v>
      </c>
      <c r="M53" s="7" t="s">
        <v>2209</v>
      </c>
      <c r="N53" s="7" t="s">
        <v>2241</v>
      </c>
      <c r="O53" s="7" t="s">
        <v>1452</v>
      </c>
      <c r="P53" s="7">
        <v>3.0</v>
      </c>
      <c r="Q53" s="7" t="b">
        <v>1</v>
      </c>
      <c r="R53" s="7" t="s">
        <v>3558</v>
      </c>
      <c r="S53" s="7" t="s">
        <v>329</v>
      </c>
      <c r="T53" s="7" t="s">
        <v>4093</v>
      </c>
    </row>
    <row r="54">
      <c r="A54" s="7" t="s">
        <v>2242</v>
      </c>
      <c r="B54" s="7" t="s">
        <v>2243</v>
      </c>
      <c r="C54" s="7" t="s">
        <v>2244</v>
      </c>
      <c r="D54" s="7" t="s">
        <v>2245</v>
      </c>
      <c r="E54" s="7" t="s">
        <v>3626</v>
      </c>
      <c r="F54" s="7" t="s">
        <v>3627</v>
      </c>
      <c r="G54" s="7" t="s">
        <v>4003</v>
      </c>
      <c r="H54" s="7" t="s">
        <v>3628</v>
      </c>
      <c r="I54" s="7" t="s">
        <v>4004</v>
      </c>
      <c r="J54" s="7" t="s">
        <v>1760</v>
      </c>
      <c r="K54" s="7" t="str">
        <f>IFERROR(__xludf.DUMMYFUNCTION("IF(E54="""","""",TEXTJOIN(""|"",TRUE,FILTER('29_FUNCTION_STANDARD_MAP'!A$2:A$43,ISNUMBER(SEARCH(""|""&amp;E54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54" s="7" t="str">
        <f>IFERROR(__xludf.DUMMYFUNCTION("IF(E54="""","""",TEXTJOIN(""|"",TRUE,UNIQUE(FILTER('29_FUNCTION_STANDARD_MAP'!B$2:B$43,ISNUMBER(SEARCH(""|""&amp;E54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54" s="7" t="s">
        <v>1807</v>
      </c>
      <c r="N54" s="7" t="s">
        <v>2247</v>
      </c>
      <c r="O54" s="7" t="s">
        <v>1452</v>
      </c>
      <c r="P54" s="7">
        <v>3.0</v>
      </c>
      <c r="Q54" s="7" t="b">
        <v>1</v>
      </c>
      <c r="R54" s="7" t="s">
        <v>3558</v>
      </c>
      <c r="S54" s="7" t="s">
        <v>329</v>
      </c>
      <c r="T54" s="7" t="s">
        <v>4093</v>
      </c>
    </row>
    <row r="55">
      <c r="A55" s="7" t="s">
        <v>2248</v>
      </c>
      <c r="B55" s="7" t="s">
        <v>2249</v>
      </c>
      <c r="C55" s="7" t="s">
        <v>2244</v>
      </c>
      <c r="D55" s="7" t="s">
        <v>2250</v>
      </c>
      <c r="E55" s="7" t="s">
        <v>3626</v>
      </c>
      <c r="F55" s="7" t="s">
        <v>3627</v>
      </c>
      <c r="G55" s="7" t="s">
        <v>4003</v>
      </c>
      <c r="H55" s="7" t="s">
        <v>3628</v>
      </c>
      <c r="I55" s="7" t="s">
        <v>4004</v>
      </c>
      <c r="J55" s="7" t="s">
        <v>1760</v>
      </c>
      <c r="K55" s="7" t="str">
        <f>IFERROR(__xludf.DUMMYFUNCTION("IF(E55="""","""",TEXTJOIN(""|"",TRUE,FILTER('29_FUNCTION_STANDARD_MAP'!A$2:A$43,ISNUMBER(SEARCH(""|""&amp;E55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55" s="7" t="str">
        <f>IFERROR(__xludf.DUMMYFUNCTION("IF(E55="""","""",TEXTJOIN(""|"",TRUE,UNIQUE(FILTER('29_FUNCTION_STANDARD_MAP'!B$2:B$43,ISNUMBER(SEARCH(""|""&amp;E55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55" s="7" t="s">
        <v>1807</v>
      </c>
      <c r="N55" s="7" t="s">
        <v>2252</v>
      </c>
      <c r="O55" s="7" t="s">
        <v>1452</v>
      </c>
      <c r="P55" s="7">
        <v>3.0</v>
      </c>
      <c r="Q55" s="7" t="b">
        <v>1</v>
      </c>
      <c r="R55" s="7" t="s">
        <v>3558</v>
      </c>
      <c r="S55" s="7" t="s">
        <v>329</v>
      </c>
      <c r="T55" s="7" t="s">
        <v>4093</v>
      </c>
    </row>
    <row r="56">
      <c r="A56" s="7" t="s">
        <v>2253</v>
      </c>
      <c r="B56" s="7" t="s">
        <v>2254</v>
      </c>
      <c r="C56" s="7" t="s">
        <v>2244</v>
      </c>
      <c r="D56" s="7" t="s">
        <v>2255</v>
      </c>
      <c r="E56" s="7" t="s">
        <v>3626</v>
      </c>
      <c r="F56" s="7" t="s">
        <v>3627</v>
      </c>
      <c r="G56" s="7" t="s">
        <v>4003</v>
      </c>
      <c r="H56" s="7" t="s">
        <v>3628</v>
      </c>
      <c r="I56" s="7" t="s">
        <v>4004</v>
      </c>
      <c r="J56" s="7" t="s">
        <v>2257</v>
      </c>
      <c r="K56" s="7" t="str">
        <f>IFERROR(__xludf.DUMMYFUNCTION("IF(E56="""","""",TEXTJOIN(""|"",TRUE,FILTER('29_FUNCTION_STANDARD_MAP'!A$2:A$43,ISNUMBER(SEARCH(""|""&amp;E56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56" s="7" t="str">
        <f>IFERROR(__xludf.DUMMYFUNCTION("IF(E56="""","""",TEXTJOIN(""|"",TRUE,UNIQUE(FILTER('29_FUNCTION_STANDARD_MAP'!B$2:B$43,ISNUMBER(SEARCH(""|""&amp;E56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56" s="7" t="s">
        <v>1807</v>
      </c>
      <c r="N56" s="7" t="s">
        <v>2258</v>
      </c>
      <c r="O56" s="7" t="s">
        <v>1452</v>
      </c>
      <c r="P56" s="7">
        <v>3.0</v>
      </c>
      <c r="Q56" s="7" t="b">
        <v>1</v>
      </c>
      <c r="R56" s="7" t="s">
        <v>3558</v>
      </c>
      <c r="S56" s="7" t="s">
        <v>329</v>
      </c>
      <c r="T56" s="7" t="s">
        <v>4093</v>
      </c>
    </row>
    <row r="57">
      <c r="A57" s="7" t="s">
        <v>2260</v>
      </c>
      <c r="B57" s="7" t="s">
        <v>2261</v>
      </c>
      <c r="C57" s="7" t="s">
        <v>2244</v>
      </c>
      <c r="D57" s="7" t="s">
        <v>2262</v>
      </c>
      <c r="E57" s="7" t="s">
        <v>3626</v>
      </c>
      <c r="F57" s="7" t="s">
        <v>3627</v>
      </c>
      <c r="G57" s="7" t="s">
        <v>4003</v>
      </c>
      <c r="H57" s="7" t="s">
        <v>3628</v>
      </c>
      <c r="I57" s="7" t="s">
        <v>4004</v>
      </c>
      <c r="J57" s="7">
        <v>8.7</v>
      </c>
      <c r="K57" s="7" t="str">
        <f>IFERROR(__xludf.DUMMYFUNCTION("IF(E57="""","""",TEXTJOIN(""|"",TRUE,FILTER('29_FUNCTION_STANDARD_MAP'!A$2:A$43,ISNUMBER(SEARCH(""|""&amp;E57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57" s="7" t="str">
        <f>IFERROR(__xludf.DUMMYFUNCTION("IF(E57="""","""",TEXTJOIN(""|"",TRUE,UNIQUE(FILTER('29_FUNCTION_STANDARD_MAP'!B$2:B$43,ISNUMBER(SEARCH(""|""&amp;E57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57" s="7" t="s">
        <v>1807</v>
      </c>
      <c r="N57" s="7" t="s">
        <v>2264</v>
      </c>
      <c r="O57" s="7" t="s">
        <v>1452</v>
      </c>
      <c r="P57" s="7">
        <v>3.0</v>
      </c>
      <c r="Q57" s="7" t="b">
        <v>1</v>
      </c>
      <c r="R57" s="7" t="s">
        <v>3558</v>
      </c>
      <c r="S57" s="7" t="s">
        <v>329</v>
      </c>
      <c r="T57" s="7" t="s">
        <v>4093</v>
      </c>
    </row>
    <row r="58">
      <c r="A58" s="7" t="s">
        <v>2265</v>
      </c>
      <c r="B58" s="7" t="s">
        <v>2266</v>
      </c>
      <c r="C58" s="7" t="s">
        <v>2244</v>
      </c>
      <c r="D58" s="7" t="s">
        <v>2267</v>
      </c>
      <c r="E58" s="7" t="s">
        <v>3626</v>
      </c>
      <c r="F58" s="7" t="s">
        <v>3627</v>
      </c>
      <c r="G58" s="7" t="s">
        <v>4003</v>
      </c>
      <c r="H58" s="7" t="s">
        <v>3628</v>
      </c>
      <c r="I58" s="7" t="s">
        <v>4004</v>
      </c>
      <c r="J58" s="7">
        <v>10.2</v>
      </c>
      <c r="K58" s="7" t="str">
        <f>IFERROR(__xludf.DUMMYFUNCTION("IF(E58="""","""",TEXTJOIN(""|"",TRUE,FILTER('29_FUNCTION_STANDARD_MAP'!A$2:A$43,ISNUMBER(SEARCH(""|""&amp;E58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58" s="7" t="str">
        <f>IFERROR(__xludf.DUMMYFUNCTION("IF(E58="""","""",TEXTJOIN(""|"",TRUE,UNIQUE(FILTER('29_FUNCTION_STANDARD_MAP'!B$2:B$43,ISNUMBER(SEARCH(""|""&amp;E58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58" s="7" t="s">
        <v>1807</v>
      </c>
      <c r="N58" s="7" t="s">
        <v>2269</v>
      </c>
      <c r="O58" s="7" t="s">
        <v>1452</v>
      </c>
      <c r="P58" s="7">
        <v>3.0</v>
      </c>
      <c r="Q58" s="7" t="b">
        <v>1</v>
      </c>
      <c r="R58" s="7" t="s">
        <v>3558</v>
      </c>
      <c r="S58" s="7" t="s">
        <v>329</v>
      </c>
      <c r="T58" s="7" t="s">
        <v>4093</v>
      </c>
    </row>
    <row r="59">
      <c r="A59" s="7" t="s">
        <v>2270</v>
      </c>
      <c r="B59" s="7" t="s">
        <v>2271</v>
      </c>
      <c r="C59" s="7" t="s">
        <v>2244</v>
      </c>
      <c r="D59" s="7" t="s">
        <v>2272</v>
      </c>
      <c r="E59" s="7" t="s">
        <v>3626</v>
      </c>
      <c r="F59" s="7" t="s">
        <v>3627</v>
      </c>
      <c r="G59" s="7" t="s">
        <v>4003</v>
      </c>
      <c r="H59" s="7" t="s">
        <v>3628</v>
      </c>
      <c r="I59" s="7" t="s">
        <v>4004</v>
      </c>
      <c r="J59" s="7">
        <v>10.2</v>
      </c>
      <c r="K59" s="7" t="str">
        <f>IFERROR(__xludf.DUMMYFUNCTION("IF(E59="""","""",TEXTJOIN(""|"",TRUE,FILTER('29_FUNCTION_STANDARD_MAP'!A$2:A$43,ISNUMBER(SEARCH(""|""&amp;E59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59" s="7" t="str">
        <f>IFERROR(__xludf.DUMMYFUNCTION("IF(E59="""","""",TEXTJOIN(""|"",TRUE,UNIQUE(FILTER('29_FUNCTION_STANDARD_MAP'!B$2:B$43,ISNUMBER(SEARCH(""|""&amp;E59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59" s="7" t="s">
        <v>1807</v>
      </c>
      <c r="N59" s="7" t="s">
        <v>2274</v>
      </c>
      <c r="O59" s="7" t="s">
        <v>1452</v>
      </c>
      <c r="P59" s="7">
        <v>3.0</v>
      </c>
      <c r="Q59" s="7" t="b">
        <v>1</v>
      </c>
      <c r="R59" s="7" t="s">
        <v>3558</v>
      </c>
      <c r="S59" s="7" t="s">
        <v>329</v>
      </c>
      <c r="T59" s="7" t="s">
        <v>4093</v>
      </c>
    </row>
    <row r="60">
      <c r="A60" s="7" t="s">
        <v>2275</v>
      </c>
      <c r="B60" s="7" t="s">
        <v>2276</v>
      </c>
      <c r="C60" s="7" t="s">
        <v>2244</v>
      </c>
      <c r="D60" s="7" t="s">
        <v>2277</v>
      </c>
      <c r="E60" s="7" t="s">
        <v>3626</v>
      </c>
      <c r="F60" s="7" t="s">
        <v>3627</v>
      </c>
      <c r="G60" s="7" t="s">
        <v>4003</v>
      </c>
      <c r="H60" s="7" t="s">
        <v>3628</v>
      </c>
      <c r="I60" s="7" t="s">
        <v>4004</v>
      </c>
      <c r="J60" s="7">
        <v>10.2</v>
      </c>
      <c r="K60" s="7" t="str">
        <f>IFERROR(__xludf.DUMMYFUNCTION("IF(E60="""","""",TEXTJOIN(""|"",TRUE,FILTER('29_FUNCTION_STANDARD_MAP'!A$2:A$43,ISNUMBER(SEARCH(""|""&amp;E60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60" s="7" t="str">
        <f>IFERROR(__xludf.DUMMYFUNCTION("IF(E60="""","""",TEXTJOIN(""|"",TRUE,UNIQUE(FILTER('29_FUNCTION_STANDARD_MAP'!B$2:B$43,ISNUMBER(SEARCH(""|""&amp;E60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60" s="7" t="s">
        <v>1807</v>
      </c>
      <c r="N60" s="7" t="s">
        <v>2279</v>
      </c>
      <c r="O60" s="7" t="s">
        <v>1452</v>
      </c>
      <c r="P60" s="7">
        <v>3.0</v>
      </c>
      <c r="Q60" s="7" t="b">
        <v>1</v>
      </c>
      <c r="R60" s="7" t="s">
        <v>3558</v>
      </c>
      <c r="S60" s="7" t="s">
        <v>329</v>
      </c>
      <c r="T60" s="7" t="s">
        <v>4093</v>
      </c>
    </row>
    <row r="61">
      <c r="A61" s="7" t="s">
        <v>2280</v>
      </c>
      <c r="B61" s="7" t="s">
        <v>2281</v>
      </c>
      <c r="C61" s="7" t="s">
        <v>2244</v>
      </c>
      <c r="D61" s="7" t="s">
        <v>2282</v>
      </c>
      <c r="E61" s="7" t="s">
        <v>3626</v>
      </c>
      <c r="F61" s="7" t="s">
        <v>3627</v>
      </c>
      <c r="G61" s="7" t="s">
        <v>4003</v>
      </c>
      <c r="H61" s="7" t="s">
        <v>3628</v>
      </c>
      <c r="I61" s="7" t="s">
        <v>4004</v>
      </c>
      <c r="J61" s="7" t="s">
        <v>2284</v>
      </c>
      <c r="K61" s="7" t="str">
        <f>IFERROR(__xludf.DUMMYFUNCTION("IF(E61="""","""",TEXTJOIN(""|"",TRUE,FILTER('29_FUNCTION_STANDARD_MAP'!A$2:A$43,ISNUMBER(SEARCH(""|""&amp;E61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61" s="7" t="str">
        <f>IFERROR(__xludf.DUMMYFUNCTION("IF(E61="""","""",TEXTJOIN(""|"",TRUE,UNIQUE(FILTER('29_FUNCTION_STANDARD_MAP'!B$2:B$43,ISNUMBER(SEARCH(""|""&amp;E61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61" s="7" t="s">
        <v>1807</v>
      </c>
      <c r="N61" s="7" t="s">
        <v>2285</v>
      </c>
      <c r="O61" s="7" t="s">
        <v>1452</v>
      </c>
      <c r="P61" s="7">
        <v>3.0</v>
      </c>
      <c r="Q61" s="7" t="b">
        <v>1</v>
      </c>
      <c r="R61" s="7" t="s">
        <v>3558</v>
      </c>
      <c r="S61" s="7" t="s">
        <v>329</v>
      </c>
      <c r="T61" s="7" t="s">
        <v>4093</v>
      </c>
    </row>
    <row r="62">
      <c r="A62" s="7" t="s">
        <v>2286</v>
      </c>
      <c r="B62" s="7" t="s">
        <v>2287</v>
      </c>
      <c r="C62" s="7" t="s">
        <v>2244</v>
      </c>
      <c r="D62" s="7" t="s">
        <v>2288</v>
      </c>
      <c r="E62" s="7" t="s">
        <v>3626</v>
      </c>
      <c r="F62" s="7" t="s">
        <v>3627</v>
      </c>
      <c r="G62" s="7" t="s">
        <v>4003</v>
      </c>
      <c r="H62" s="7" t="s">
        <v>3628</v>
      </c>
      <c r="I62" s="7" t="s">
        <v>4004</v>
      </c>
      <c r="J62" s="7" t="s">
        <v>2158</v>
      </c>
      <c r="K62" s="7" t="str">
        <f>IFERROR(__xludf.DUMMYFUNCTION("IF(E62="""","""",TEXTJOIN(""|"",TRUE,FILTER('29_FUNCTION_STANDARD_MAP'!A$2:A$43,ISNUMBER(SEARCH(""|""&amp;E62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62" s="7" t="str">
        <f>IFERROR(__xludf.DUMMYFUNCTION("IF(E62="""","""",TEXTJOIN(""|"",TRUE,UNIQUE(FILTER('29_FUNCTION_STANDARD_MAP'!B$2:B$43,ISNUMBER(SEARCH(""|""&amp;E62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62" s="7" t="s">
        <v>1807</v>
      </c>
      <c r="N62" s="7" t="s">
        <v>2290</v>
      </c>
      <c r="O62" s="7" t="s">
        <v>1452</v>
      </c>
      <c r="P62" s="7">
        <v>3.0</v>
      </c>
      <c r="Q62" s="7" t="b">
        <v>1</v>
      </c>
      <c r="R62" s="7" t="s">
        <v>3558</v>
      </c>
      <c r="S62" s="7" t="s">
        <v>329</v>
      </c>
      <c r="T62" s="7" t="s">
        <v>4093</v>
      </c>
    </row>
    <row r="63">
      <c r="A63" s="7" t="s">
        <v>2291</v>
      </c>
      <c r="B63" s="7" t="s">
        <v>2292</v>
      </c>
      <c r="C63" s="7" t="s">
        <v>2244</v>
      </c>
      <c r="D63" s="7" t="s">
        <v>2293</v>
      </c>
      <c r="E63" s="7" t="s">
        <v>3626</v>
      </c>
      <c r="F63" s="7" t="s">
        <v>3627</v>
      </c>
      <c r="G63" s="7" t="s">
        <v>4003</v>
      </c>
      <c r="H63" s="7" t="s">
        <v>3628</v>
      </c>
      <c r="I63" s="7" t="s">
        <v>4004</v>
      </c>
      <c r="J63" s="7">
        <v>10.3</v>
      </c>
      <c r="K63" s="7" t="str">
        <f>IFERROR(__xludf.DUMMYFUNCTION("IF(E63="""","""",TEXTJOIN(""|"",TRUE,FILTER('29_FUNCTION_STANDARD_MAP'!A$2:A$43,ISNUMBER(SEARCH(""|""&amp;E63&amp;""|"",""|""&amp;'29_FUNCTION_STANDARD_MAP'!E$2:E$43&amp;""|"")))))"),"F-DIR-01|F-WD1-01|F-WD2-01|F-WD3-01|F-BAKPK-01|F-BAKPK-02|F-BAKPK-03|F-BAKPK-04|F-BUK-01|F-BUK-02|F-BUK-03|F-BUK-04|F-P3M-01|F-P3M-02|F-P4MP-01|F-P4MP-02|F-SPI-01|F-SPI-02|F-UPAP-01|F-UPTI-01|F-UPTI-02|F-UPTM-01|F-UPB-01|F-UPK-01|F-UPK-02|F-UPUK-01|F-TPER"&amp;"KAPALAN-01|F-TPERKAPALAN-02|F-TMESIN-01|F-TMESIN-02|F-TELEKTRO-01|F-TELEKTRO-02|F-TSIPIL-01|F-TSIPIL-02|F-ADMNIAGA-01|F-ADMNIAGA-02|F-TINFORMATIKA-01|F-TINFORMATIKA-02|F-KEMARITIMAN-01|F-KEMARITIMAN-02|F-BAHASA-01|F-BAHASA-02")</f>
        <v>F-DIR-01|F-WD1-01|F-WD2-01|F-WD3-01|F-BAKPK-01|F-BAKPK-02|F-BAKPK-03|F-BAKPK-04|F-BUK-01|F-BUK-02|F-BUK-03|F-BUK-04|F-P3M-01|F-P3M-02|F-P4MP-01|F-P4MP-02|F-SPI-01|F-SPI-02|F-UPAP-01|F-UPTI-01|F-UPTI-02|F-UPTM-01|F-UPB-01|F-UPK-01|F-UPK-02|F-UPUK-01|F-TPERKAPALAN-01|F-TPERKAPALAN-02|F-TMESIN-01|F-TMESIN-02|F-TELEKTRO-01|F-TELEKTRO-02|F-TSIPIL-01|F-TSIPIL-02|F-ADMNIAGA-01|F-ADMNIAGA-02|F-TINFORMATIKA-01|F-TINFORMATIKA-02|F-KEMARITIMAN-01|F-KEMARITIMAN-02|F-BAHASA-01|F-BAHASA-02</v>
      </c>
      <c r="L63" s="7" t="str">
        <f>IFERROR(__xludf.DUMMYFUNCTION("IF(E63="""","""",TEXTJOIN(""|"",TRUE,UNIQUE(FILTER('29_FUNCTION_STANDARD_MAP'!B$2:B$43,ISNUMBER(SEARCH(""|""&amp;E63&amp;""|"",""|""&amp;'29_FUNCTION_STANDARD_MAP'!E$2:E$43&amp;""|""))))))"),"DIREKTORAT|WADIR1|WADIR2|WADIR3|BAG_AKPK|BAG_UK|P3M|P4MP|SPI|UPA_PERPUS|UPA_TI|UPA_TPPA|UPA_BAHASA|UPA_KARIR|UPA_UKOM|JUR_TPERKAPALAN|JUR_TMESIN|JUR_TELEKTRO|JUR_TSIPIL|JUR_ADMNIAGA|JUR_TINFORMATIKA|JUR_KEMARITIMAN|JUR_BAHASA")</f>
        <v>DIREKTORAT|WADIR1|WADIR2|WADIR3|BAG_AKPK|BAG_UK|P3M|P4MP|SPI|UPA_PERPUS|UPA_TI|UPA_TPPA|UPA_BAHASA|UPA_KARIR|UPA_UKOM|JUR_TPERKAPALAN|JUR_TMESIN|JUR_TELEKTRO|JUR_TSIPIL|JUR_ADMNIAGA|JUR_TINFORMATIKA|JUR_KEMARITIMAN|JUR_BAHASA</v>
      </c>
      <c r="M63" s="7" t="s">
        <v>1807</v>
      </c>
      <c r="N63" s="7" t="s">
        <v>2295</v>
      </c>
      <c r="O63" s="7" t="s">
        <v>1465</v>
      </c>
      <c r="P63" s="7">
        <v>2.0</v>
      </c>
      <c r="Q63" s="7" t="b">
        <v>1</v>
      </c>
      <c r="R63" s="7" t="s">
        <v>3558</v>
      </c>
      <c r="S63" s="7" t="s">
        <v>329</v>
      </c>
      <c r="T63" s="7" t="s">
        <v>4093</v>
      </c>
    </row>
    <row r="64">
      <c r="A64" s="7" t="s">
        <v>2296</v>
      </c>
      <c r="B64" s="7" t="s">
        <v>2297</v>
      </c>
      <c r="C64" s="7" t="s">
        <v>2298</v>
      </c>
      <c r="D64" s="7" t="s">
        <v>2299</v>
      </c>
      <c r="E64" s="7" t="s">
        <v>3639</v>
      </c>
      <c r="F64" s="7" t="s">
        <v>3640</v>
      </c>
      <c r="G64" s="7" t="s">
        <v>4008</v>
      </c>
      <c r="H64" s="7" t="s">
        <v>3641</v>
      </c>
      <c r="I64" s="7" t="s">
        <v>4009</v>
      </c>
      <c r="J64" s="7" t="s">
        <v>2301</v>
      </c>
      <c r="K64" s="7" t="str">
        <f>IFERROR(__xludf.DUMMYFUNCTION("IF(E64="""","""",TEXTJOIN(""|"",TRUE,FILTER('29_FUNCTION_STANDARD_MAP'!A$2:A$43,ISNUMBER(SEARCH(""|""&amp;E64&amp;""|"",""|""&amp;'29_FUNCTION_STANDARD_MAP'!E$2:E$43&amp;""|"")))))"),"F-DIR-01|F-WD1-01|F-WD2-01|F-WD3-01")</f>
        <v>F-DIR-01|F-WD1-01|F-WD2-01|F-WD3-01</v>
      </c>
      <c r="L64" s="7" t="str">
        <f>IFERROR(__xludf.DUMMYFUNCTION("IF(E64="""","""",TEXTJOIN(""|"",TRUE,UNIQUE(FILTER('29_FUNCTION_STANDARD_MAP'!B$2:B$43,ISNUMBER(SEARCH(""|""&amp;E64&amp;""|"",""|""&amp;'29_FUNCTION_STANDARD_MAP'!E$2:E$43&amp;""|""))))))"),"DIREKTORAT|WADIR1|WADIR2|WADIR3")</f>
        <v>DIREKTORAT|WADIR1|WADIR2|WADIR3</v>
      </c>
      <c r="M64" s="7" t="s">
        <v>1360</v>
      </c>
      <c r="N64" s="7" t="s">
        <v>2302</v>
      </c>
      <c r="O64" s="7" t="s">
        <v>1465</v>
      </c>
      <c r="P64" s="7">
        <v>2.0</v>
      </c>
      <c r="Q64" s="7" t="b">
        <v>1</v>
      </c>
      <c r="R64" s="7" t="s">
        <v>3558</v>
      </c>
      <c r="S64" s="7" t="s">
        <v>329</v>
      </c>
      <c r="T64" s="7" t="s">
        <v>4093</v>
      </c>
    </row>
    <row r="65">
      <c r="A65" s="7" t="s">
        <v>2304</v>
      </c>
      <c r="B65" s="7" t="s">
        <v>2305</v>
      </c>
      <c r="C65" s="7" t="s">
        <v>2298</v>
      </c>
      <c r="D65" s="7" t="s">
        <v>2306</v>
      </c>
      <c r="E65" s="7" t="s">
        <v>3639</v>
      </c>
      <c r="F65" s="7" t="s">
        <v>3640</v>
      </c>
      <c r="G65" s="7" t="s">
        <v>4008</v>
      </c>
      <c r="H65" s="7" t="s">
        <v>3641</v>
      </c>
      <c r="I65" s="7" t="s">
        <v>4009</v>
      </c>
      <c r="J65" s="7">
        <v>6.2</v>
      </c>
      <c r="K65" s="7" t="str">
        <f>IFERROR(__xludf.DUMMYFUNCTION("IF(E65="""","""",TEXTJOIN(""|"",TRUE,FILTER('29_FUNCTION_STANDARD_MAP'!A$2:A$43,ISNUMBER(SEARCH(""|""&amp;E65&amp;""|"",""|""&amp;'29_FUNCTION_STANDARD_MAP'!E$2:E$43&amp;""|"")))))"),"F-DIR-01|F-WD1-01|F-WD2-01|F-WD3-01")</f>
        <v>F-DIR-01|F-WD1-01|F-WD2-01|F-WD3-01</v>
      </c>
      <c r="L65" s="7" t="str">
        <f>IFERROR(__xludf.DUMMYFUNCTION("IF(E65="""","""",TEXTJOIN(""|"",TRUE,UNIQUE(FILTER('29_FUNCTION_STANDARD_MAP'!B$2:B$43,ISNUMBER(SEARCH(""|""&amp;E65&amp;""|"",""|""&amp;'29_FUNCTION_STANDARD_MAP'!E$2:E$43&amp;""|""))))))"),"DIREKTORAT|WADIR1|WADIR2|WADIR3")</f>
        <v>DIREKTORAT|WADIR1|WADIR2|WADIR3</v>
      </c>
      <c r="M65" s="7" t="s">
        <v>1360</v>
      </c>
      <c r="N65" s="7" t="s">
        <v>2307</v>
      </c>
      <c r="O65" s="7" t="s">
        <v>1465</v>
      </c>
      <c r="P65" s="7">
        <v>2.0</v>
      </c>
      <c r="Q65" s="7" t="b">
        <v>1</v>
      </c>
      <c r="R65" s="7" t="s">
        <v>3558</v>
      </c>
      <c r="S65" s="7" t="s">
        <v>329</v>
      </c>
      <c r="T65" s="7" t="s">
        <v>4093</v>
      </c>
    </row>
    <row r="66">
      <c r="A66" s="7" t="s">
        <v>2308</v>
      </c>
      <c r="B66" s="7" t="s">
        <v>2309</v>
      </c>
      <c r="C66" s="7" t="s">
        <v>2298</v>
      </c>
      <c r="D66" s="7" t="s">
        <v>2310</v>
      </c>
      <c r="E66" s="7" t="s">
        <v>3639</v>
      </c>
      <c r="F66" s="7" t="s">
        <v>3640</v>
      </c>
      <c r="G66" s="7" t="s">
        <v>4008</v>
      </c>
      <c r="H66" s="7" t="s">
        <v>3641</v>
      </c>
      <c r="I66" s="7" t="s">
        <v>4009</v>
      </c>
      <c r="J66" s="7" t="s">
        <v>1649</v>
      </c>
      <c r="K66" s="7" t="str">
        <f>IFERROR(__xludf.DUMMYFUNCTION("IF(E66="""","""",TEXTJOIN(""|"",TRUE,FILTER('29_FUNCTION_STANDARD_MAP'!A$2:A$43,ISNUMBER(SEARCH(""|""&amp;E66&amp;""|"",""|""&amp;'29_FUNCTION_STANDARD_MAP'!E$2:E$43&amp;""|"")))))"),"F-DIR-01|F-WD1-01|F-WD2-01|F-WD3-01")</f>
        <v>F-DIR-01|F-WD1-01|F-WD2-01|F-WD3-01</v>
      </c>
      <c r="L66" s="7" t="str">
        <f>IFERROR(__xludf.DUMMYFUNCTION("IF(E66="""","""",TEXTJOIN(""|"",TRUE,UNIQUE(FILTER('29_FUNCTION_STANDARD_MAP'!B$2:B$43,ISNUMBER(SEARCH(""|""&amp;E66&amp;""|"",""|""&amp;'29_FUNCTION_STANDARD_MAP'!E$2:E$43&amp;""|""))))))"),"DIREKTORAT|WADIR1|WADIR2|WADIR3")</f>
        <v>DIREKTORAT|WADIR1|WADIR2|WADIR3</v>
      </c>
      <c r="M66" s="7" t="s">
        <v>1360</v>
      </c>
      <c r="N66" s="7" t="s">
        <v>2311</v>
      </c>
      <c r="O66" s="7" t="s">
        <v>1465</v>
      </c>
      <c r="P66" s="7">
        <v>2.0</v>
      </c>
      <c r="Q66" s="7" t="b">
        <v>1</v>
      </c>
      <c r="R66" s="7" t="s">
        <v>3558</v>
      </c>
      <c r="S66" s="7" t="s">
        <v>329</v>
      </c>
      <c r="T66" s="7" t="s">
        <v>4093</v>
      </c>
    </row>
    <row r="67">
      <c r="A67" s="7" t="s">
        <v>2312</v>
      </c>
      <c r="B67" s="7" t="s">
        <v>2313</v>
      </c>
      <c r="C67" s="7" t="s">
        <v>2298</v>
      </c>
      <c r="D67" s="7" t="s">
        <v>2314</v>
      </c>
      <c r="E67" s="7" t="s">
        <v>3639</v>
      </c>
      <c r="F67" s="7" t="s">
        <v>3640</v>
      </c>
      <c r="G67" s="7" t="s">
        <v>4008</v>
      </c>
      <c r="H67" s="7" t="s">
        <v>3641</v>
      </c>
      <c r="I67" s="7" t="s">
        <v>4009</v>
      </c>
      <c r="J67" s="7">
        <v>9.3</v>
      </c>
      <c r="K67" s="7" t="str">
        <f>IFERROR(__xludf.DUMMYFUNCTION("IF(E67="""","""",TEXTJOIN(""|"",TRUE,FILTER('29_FUNCTION_STANDARD_MAP'!A$2:A$43,ISNUMBER(SEARCH(""|""&amp;E67&amp;""|"",""|""&amp;'29_FUNCTION_STANDARD_MAP'!E$2:E$43&amp;""|"")))))"),"F-DIR-01|F-WD1-01|F-WD2-01|F-WD3-01")</f>
        <v>F-DIR-01|F-WD1-01|F-WD2-01|F-WD3-01</v>
      </c>
      <c r="L67" s="7" t="str">
        <f>IFERROR(__xludf.DUMMYFUNCTION("IF(E67="""","""",TEXTJOIN(""|"",TRUE,UNIQUE(FILTER('29_FUNCTION_STANDARD_MAP'!B$2:B$43,ISNUMBER(SEARCH(""|""&amp;E67&amp;""|"",""|""&amp;'29_FUNCTION_STANDARD_MAP'!E$2:E$43&amp;""|""))))))"),"DIREKTORAT|WADIR1|WADIR2|WADIR3")</f>
        <v>DIREKTORAT|WADIR1|WADIR2|WADIR3</v>
      </c>
      <c r="M67" s="7" t="s">
        <v>1360</v>
      </c>
      <c r="N67" s="7" t="s">
        <v>2315</v>
      </c>
      <c r="O67" s="7" t="s">
        <v>1465</v>
      </c>
      <c r="P67" s="7">
        <v>2.0</v>
      </c>
      <c r="Q67" s="7" t="b">
        <v>1</v>
      </c>
      <c r="R67" s="7" t="s">
        <v>3558</v>
      </c>
      <c r="S67" s="7" t="s">
        <v>329</v>
      </c>
      <c r="T67" s="7" t="s">
        <v>4093</v>
      </c>
    </row>
    <row r="68">
      <c r="A68" s="7" t="s">
        <v>2316</v>
      </c>
      <c r="B68" s="7" t="s">
        <v>2317</v>
      </c>
      <c r="C68" s="7" t="s">
        <v>2298</v>
      </c>
      <c r="D68" s="7" t="s">
        <v>2318</v>
      </c>
      <c r="E68" s="7" t="s">
        <v>3639</v>
      </c>
      <c r="F68" s="7" t="s">
        <v>3640</v>
      </c>
      <c r="G68" s="7" t="s">
        <v>4008</v>
      </c>
      <c r="H68" s="7" t="s">
        <v>3641</v>
      </c>
      <c r="I68" s="7" t="s">
        <v>4009</v>
      </c>
      <c r="J68" s="7">
        <v>9.3</v>
      </c>
      <c r="K68" s="7" t="str">
        <f>IFERROR(__xludf.DUMMYFUNCTION("IF(E68="""","""",TEXTJOIN(""|"",TRUE,FILTER('29_FUNCTION_STANDARD_MAP'!A$2:A$43,ISNUMBER(SEARCH(""|""&amp;E68&amp;""|"",""|""&amp;'29_FUNCTION_STANDARD_MAP'!E$2:E$43&amp;""|"")))))"),"F-DIR-01|F-WD1-01|F-WD2-01|F-WD3-01")</f>
        <v>F-DIR-01|F-WD1-01|F-WD2-01|F-WD3-01</v>
      </c>
      <c r="L68" s="7" t="str">
        <f>IFERROR(__xludf.DUMMYFUNCTION("IF(E68="""","""",TEXTJOIN(""|"",TRUE,UNIQUE(FILTER('29_FUNCTION_STANDARD_MAP'!B$2:B$43,ISNUMBER(SEARCH(""|""&amp;E68&amp;""|"",""|""&amp;'29_FUNCTION_STANDARD_MAP'!E$2:E$43&amp;""|""))))))"),"DIREKTORAT|WADIR1|WADIR2|WADIR3")</f>
        <v>DIREKTORAT|WADIR1|WADIR2|WADIR3</v>
      </c>
      <c r="M68" s="7" t="s">
        <v>1360</v>
      </c>
      <c r="N68" s="7" t="s">
        <v>2319</v>
      </c>
      <c r="O68" s="7" t="s">
        <v>1465</v>
      </c>
      <c r="P68" s="7">
        <v>2.0</v>
      </c>
      <c r="Q68" s="7" t="b">
        <v>1</v>
      </c>
      <c r="R68" s="7" t="s">
        <v>3558</v>
      </c>
      <c r="S68" s="7" t="s">
        <v>329</v>
      </c>
      <c r="T68" s="7" t="s">
        <v>4093</v>
      </c>
    </row>
    <row r="69">
      <c r="A69" s="7" t="s">
        <v>2320</v>
      </c>
      <c r="B69" s="7" t="s">
        <v>2321</v>
      </c>
      <c r="C69" s="7" t="s">
        <v>2298</v>
      </c>
      <c r="D69" s="7" t="s">
        <v>2322</v>
      </c>
      <c r="E69" s="7" t="s">
        <v>3639</v>
      </c>
      <c r="F69" s="7" t="s">
        <v>3640</v>
      </c>
      <c r="G69" s="7" t="s">
        <v>4008</v>
      </c>
      <c r="H69" s="7" t="s">
        <v>3641</v>
      </c>
      <c r="I69" s="7" t="s">
        <v>4009</v>
      </c>
      <c r="J69" s="7" t="s">
        <v>2323</v>
      </c>
      <c r="K69" s="7" t="str">
        <f>IFERROR(__xludf.DUMMYFUNCTION("IF(E69="""","""",TEXTJOIN(""|"",TRUE,FILTER('29_FUNCTION_STANDARD_MAP'!A$2:A$43,ISNUMBER(SEARCH(""|""&amp;E69&amp;""|"",""|""&amp;'29_FUNCTION_STANDARD_MAP'!E$2:E$43&amp;""|"")))))"),"F-DIR-01|F-WD1-01|F-WD2-01|F-WD3-01")</f>
        <v>F-DIR-01|F-WD1-01|F-WD2-01|F-WD3-01</v>
      </c>
      <c r="L69" s="7" t="str">
        <f>IFERROR(__xludf.DUMMYFUNCTION("IF(E69="""","""",TEXTJOIN(""|"",TRUE,UNIQUE(FILTER('29_FUNCTION_STANDARD_MAP'!B$2:B$43,ISNUMBER(SEARCH(""|""&amp;E69&amp;""|"",""|""&amp;'29_FUNCTION_STANDARD_MAP'!E$2:E$43&amp;""|""))))))"),"DIREKTORAT|WADIR1|WADIR2|WADIR3")</f>
        <v>DIREKTORAT|WADIR1|WADIR2|WADIR3</v>
      </c>
      <c r="M69" s="7" t="s">
        <v>1360</v>
      </c>
      <c r="N69" s="7" t="s">
        <v>2324</v>
      </c>
      <c r="O69" s="7" t="s">
        <v>1465</v>
      </c>
      <c r="P69" s="7">
        <v>2.0</v>
      </c>
      <c r="Q69" s="7" t="b">
        <v>1</v>
      </c>
      <c r="R69" s="7" t="s">
        <v>3558</v>
      </c>
      <c r="S69" s="7" t="s">
        <v>329</v>
      </c>
      <c r="T69" s="7" t="s">
        <v>4093</v>
      </c>
    </row>
    <row r="70">
      <c r="A70" s="7" t="s">
        <v>2325</v>
      </c>
      <c r="B70" s="7" t="s">
        <v>2326</v>
      </c>
      <c r="C70" s="7" t="s">
        <v>2298</v>
      </c>
      <c r="D70" s="7" t="s">
        <v>2327</v>
      </c>
      <c r="E70" s="7" t="s">
        <v>3639</v>
      </c>
      <c r="F70" s="7" t="s">
        <v>3640</v>
      </c>
      <c r="G70" s="7" t="s">
        <v>4008</v>
      </c>
      <c r="H70" s="7" t="s">
        <v>3641</v>
      </c>
      <c r="I70" s="7" t="s">
        <v>4009</v>
      </c>
      <c r="J70" s="7" t="s">
        <v>2328</v>
      </c>
      <c r="K70" s="7" t="str">
        <f>IFERROR(__xludf.DUMMYFUNCTION("IF(E70="""","""",TEXTJOIN(""|"",TRUE,FILTER('29_FUNCTION_STANDARD_MAP'!A$2:A$43,ISNUMBER(SEARCH(""|""&amp;E70&amp;""|"",""|""&amp;'29_FUNCTION_STANDARD_MAP'!E$2:E$43&amp;""|"")))))"),"F-DIR-01|F-WD1-01|F-WD2-01|F-WD3-01")</f>
        <v>F-DIR-01|F-WD1-01|F-WD2-01|F-WD3-01</v>
      </c>
      <c r="L70" s="7" t="str">
        <f>IFERROR(__xludf.DUMMYFUNCTION("IF(E70="""","""",TEXTJOIN(""|"",TRUE,UNIQUE(FILTER('29_FUNCTION_STANDARD_MAP'!B$2:B$43,ISNUMBER(SEARCH(""|""&amp;E70&amp;""|"",""|""&amp;'29_FUNCTION_STANDARD_MAP'!E$2:E$43&amp;""|""))))))"),"DIREKTORAT|WADIR1|WADIR2|WADIR3")</f>
        <v>DIREKTORAT|WADIR1|WADIR2|WADIR3</v>
      </c>
      <c r="M70" s="7" t="s">
        <v>1360</v>
      </c>
      <c r="N70" s="7" t="s">
        <v>2329</v>
      </c>
      <c r="O70" s="7" t="s">
        <v>1465</v>
      </c>
      <c r="P70" s="7">
        <v>2.0</v>
      </c>
      <c r="Q70" s="7" t="b">
        <v>1</v>
      </c>
      <c r="R70" s="7" t="s">
        <v>3558</v>
      </c>
      <c r="S70" s="7" t="s">
        <v>329</v>
      </c>
      <c r="T70" s="7" t="s">
        <v>4093</v>
      </c>
    </row>
    <row r="71">
      <c r="A71" s="7" t="s">
        <v>2330</v>
      </c>
      <c r="B71" s="7" t="s">
        <v>2331</v>
      </c>
      <c r="C71" s="7" t="s">
        <v>2298</v>
      </c>
      <c r="D71" s="7" t="s">
        <v>2332</v>
      </c>
      <c r="E71" s="7" t="s">
        <v>3639</v>
      </c>
      <c r="F71" s="7" t="s">
        <v>3640</v>
      </c>
      <c r="G71" s="7" t="s">
        <v>4008</v>
      </c>
      <c r="H71" s="7" t="s">
        <v>3641</v>
      </c>
      <c r="I71" s="7" t="s">
        <v>4009</v>
      </c>
      <c r="J71" s="7">
        <v>6.3</v>
      </c>
      <c r="K71" s="7" t="str">
        <f>IFERROR(__xludf.DUMMYFUNCTION("IF(E71="""","""",TEXTJOIN(""|"",TRUE,FILTER('29_FUNCTION_STANDARD_MAP'!A$2:A$43,ISNUMBER(SEARCH(""|""&amp;E71&amp;""|"",""|""&amp;'29_FUNCTION_STANDARD_MAP'!E$2:E$43&amp;""|"")))))"),"F-DIR-01|F-WD1-01|F-WD2-01|F-WD3-01")</f>
        <v>F-DIR-01|F-WD1-01|F-WD2-01|F-WD3-01</v>
      </c>
      <c r="L71" s="7" t="str">
        <f>IFERROR(__xludf.DUMMYFUNCTION("IF(E71="""","""",TEXTJOIN(""|"",TRUE,UNIQUE(FILTER('29_FUNCTION_STANDARD_MAP'!B$2:B$43,ISNUMBER(SEARCH(""|""&amp;E71&amp;""|"",""|""&amp;'29_FUNCTION_STANDARD_MAP'!E$2:E$43&amp;""|""))))))"),"DIREKTORAT|WADIR1|WADIR2|WADIR3")</f>
        <v>DIREKTORAT|WADIR1|WADIR2|WADIR3</v>
      </c>
      <c r="M71" s="7" t="s">
        <v>1360</v>
      </c>
      <c r="N71" s="7" t="s">
        <v>2333</v>
      </c>
      <c r="O71" s="7" t="s">
        <v>1465</v>
      </c>
      <c r="P71" s="7">
        <v>2.0</v>
      </c>
      <c r="Q71" s="7" t="b">
        <v>1</v>
      </c>
      <c r="R71" s="7" t="s">
        <v>3558</v>
      </c>
      <c r="S71" s="7" t="s">
        <v>329</v>
      </c>
      <c r="T71" s="7" t="s">
        <v>4093</v>
      </c>
    </row>
    <row r="72">
      <c r="A72" s="7" t="s">
        <v>2334</v>
      </c>
      <c r="B72" s="7" t="s">
        <v>2335</v>
      </c>
      <c r="C72" s="7" t="s">
        <v>2336</v>
      </c>
      <c r="D72" s="7" t="s">
        <v>2337</v>
      </c>
      <c r="E72" s="7" t="s">
        <v>3650</v>
      </c>
      <c r="F72" s="7" t="s">
        <v>3651</v>
      </c>
      <c r="G72" s="7" t="s">
        <v>4013</v>
      </c>
      <c r="H72" s="7" t="s">
        <v>3652</v>
      </c>
      <c r="I72" s="7" t="s">
        <v>4014</v>
      </c>
      <c r="J72" s="7">
        <v>6.2</v>
      </c>
      <c r="K72" s="7" t="str">
        <f>IFERROR(__xludf.DUMMYFUNCTION("IF(E72="""","""",TEXTJOIN(""|"",TRUE,FILTER('29_FUNCTION_STANDARD_MAP'!A$2:A$43,ISNUMBER(SEARCH(""|""&amp;E72&amp;""|"",""|""&amp;'29_FUNCTION_STANDARD_MAP'!E$2:E$43&amp;""|"")))))"),"F-WD2-01|F-BAKPK-02")</f>
        <v>F-WD2-01|F-BAKPK-02</v>
      </c>
      <c r="L72" s="7" t="str">
        <f>IFERROR(__xludf.DUMMYFUNCTION("IF(E72="""","""",TEXTJOIN(""|"",TRUE,UNIQUE(FILTER('29_FUNCTION_STANDARD_MAP'!B$2:B$43,ISNUMBER(SEARCH(""|""&amp;E72&amp;""|"",""|""&amp;'29_FUNCTION_STANDARD_MAP'!E$2:E$43&amp;""|""))))))"),"WADIR2|BAG_AKPK")</f>
        <v>WADIR2|BAG_AKPK</v>
      </c>
      <c r="M72" s="7" t="s">
        <v>1371</v>
      </c>
      <c r="N72" s="7" t="s">
        <v>2338</v>
      </c>
      <c r="O72" s="7" t="s">
        <v>1465</v>
      </c>
      <c r="P72" s="7">
        <v>2.0</v>
      </c>
      <c r="Q72" s="7" t="b">
        <v>1</v>
      </c>
      <c r="R72" s="7" t="s">
        <v>3558</v>
      </c>
      <c r="S72" s="7" t="s">
        <v>329</v>
      </c>
      <c r="T72" s="7" t="s">
        <v>4093</v>
      </c>
    </row>
    <row r="73">
      <c r="A73" s="7" t="s">
        <v>2339</v>
      </c>
      <c r="B73" s="7" t="s">
        <v>2340</v>
      </c>
      <c r="C73" s="7" t="s">
        <v>2336</v>
      </c>
      <c r="D73" s="7" t="s">
        <v>2341</v>
      </c>
      <c r="E73" s="7" t="s">
        <v>3650</v>
      </c>
      <c r="F73" s="7" t="s">
        <v>3651</v>
      </c>
      <c r="G73" s="7" t="s">
        <v>4013</v>
      </c>
      <c r="H73" s="7" t="s">
        <v>3652</v>
      </c>
      <c r="I73" s="7" t="s">
        <v>4014</v>
      </c>
      <c r="J73" s="7">
        <v>6.2</v>
      </c>
      <c r="K73" s="7" t="str">
        <f>IFERROR(__xludf.DUMMYFUNCTION("IF(E73="""","""",TEXTJOIN(""|"",TRUE,FILTER('29_FUNCTION_STANDARD_MAP'!A$2:A$43,ISNUMBER(SEARCH(""|""&amp;E73&amp;""|"",""|""&amp;'29_FUNCTION_STANDARD_MAP'!E$2:E$43&amp;""|"")))))"),"F-WD2-01|F-BAKPK-02")</f>
        <v>F-WD2-01|F-BAKPK-02</v>
      </c>
      <c r="L73" s="7" t="str">
        <f>IFERROR(__xludf.DUMMYFUNCTION("IF(E73="""","""",TEXTJOIN(""|"",TRUE,UNIQUE(FILTER('29_FUNCTION_STANDARD_MAP'!B$2:B$43,ISNUMBER(SEARCH(""|""&amp;E73&amp;""|"",""|""&amp;'29_FUNCTION_STANDARD_MAP'!E$2:E$43&amp;""|""))))))"),"WADIR2|BAG_AKPK")</f>
        <v>WADIR2|BAG_AKPK</v>
      </c>
      <c r="M73" s="7" t="s">
        <v>1371</v>
      </c>
      <c r="N73" s="7" t="s">
        <v>2342</v>
      </c>
      <c r="O73" s="7" t="s">
        <v>1465</v>
      </c>
      <c r="P73" s="7">
        <v>2.0</v>
      </c>
      <c r="Q73" s="7" t="b">
        <v>1</v>
      </c>
      <c r="R73" s="7" t="s">
        <v>3558</v>
      </c>
      <c r="S73" s="7" t="s">
        <v>329</v>
      </c>
      <c r="T73" s="7" t="s">
        <v>4093</v>
      </c>
    </row>
    <row r="74">
      <c r="A74" s="7" t="s">
        <v>2343</v>
      </c>
      <c r="B74" s="7" t="s">
        <v>2344</v>
      </c>
      <c r="C74" s="7" t="s">
        <v>2336</v>
      </c>
      <c r="D74" s="7" t="s">
        <v>2345</v>
      </c>
      <c r="E74" s="7" t="s">
        <v>3650</v>
      </c>
      <c r="F74" s="7" t="s">
        <v>3651</v>
      </c>
      <c r="G74" s="7" t="s">
        <v>4013</v>
      </c>
      <c r="H74" s="7" t="s">
        <v>3652</v>
      </c>
      <c r="I74" s="7" t="s">
        <v>4014</v>
      </c>
      <c r="J74" s="7" t="s">
        <v>1760</v>
      </c>
      <c r="K74" s="7" t="str">
        <f>IFERROR(__xludf.DUMMYFUNCTION("IF(E74="""","""",TEXTJOIN(""|"",TRUE,FILTER('29_FUNCTION_STANDARD_MAP'!A$2:A$43,ISNUMBER(SEARCH(""|""&amp;E74&amp;""|"",""|""&amp;'29_FUNCTION_STANDARD_MAP'!E$2:E$43&amp;""|"")))))"),"F-WD2-01|F-BAKPK-02")</f>
        <v>F-WD2-01|F-BAKPK-02</v>
      </c>
      <c r="L74" s="7" t="str">
        <f>IFERROR(__xludf.DUMMYFUNCTION("IF(E74="""","""",TEXTJOIN(""|"",TRUE,UNIQUE(FILTER('29_FUNCTION_STANDARD_MAP'!B$2:B$43,ISNUMBER(SEARCH(""|""&amp;E74&amp;""|"",""|""&amp;'29_FUNCTION_STANDARD_MAP'!E$2:E$43&amp;""|""))))))"),"WADIR2|BAG_AKPK")</f>
        <v>WADIR2|BAG_AKPK</v>
      </c>
      <c r="M74" s="7" t="s">
        <v>1371</v>
      </c>
      <c r="N74" s="7" t="s">
        <v>2346</v>
      </c>
      <c r="O74" s="7" t="s">
        <v>1465</v>
      </c>
      <c r="P74" s="7">
        <v>2.0</v>
      </c>
      <c r="Q74" s="7" t="b">
        <v>1</v>
      </c>
      <c r="R74" s="7" t="s">
        <v>3558</v>
      </c>
      <c r="S74" s="7" t="s">
        <v>329</v>
      </c>
      <c r="T74" s="7" t="s">
        <v>4093</v>
      </c>
    </row>
    <row r="75">
      <c r="A75" s="7" t="s">
        <v>2347</v>
      </c>
      <c r="B75" s="7" t="s">
        <v>2348</v>
      </c>
      <c r="C75" s="7" t="s">
        <v>2336</v>
      </c>
      <c r="D75" s="7" t="s">
        <v>2349</v>
      </c>
      <c r="E75" s="7" t="s">
        <v>3650</v>
      </c>
      <c r="F75" s="7" t="s">
        <v>3651</v>
      </c>
      <c r="G75" s="7" t="s">
        <v>4013</v>
      </c>
      <c r="H75" s="7" t="s">
        <v>3652</v>
      </c>
      <c r="I75" s="7" t="s">
        <v>4014</v>
      </c>
      <c r="J75" s="7">
        <v>8.1</v>
      </c>
      <c r="K75" s="7" t="str">
        <f>IFERROR(__xludf.DUMMYFUNCTION("IF(E75="""","""",TEXTJOIN(""|"",TRUE,FILTER('29_FUNCTION_STANDARD_MAP'!A$2:A$43,ISNUMBER(SEARCH(""|""&amp;E75&amp;""|"",""|""&amp;'29_FUNCTION_STANDARD_MAP'!E$2:E$43&amp;""|"")))))"),"F-WD2-01|F-BAKPK-02")</f>
        <v>F-WD2-01|F-BAKPK-02</v>
      </c>
      <c r="L75" s="7" t="str">
        <f>IFERROR(__xludf.DUMMYFUNCTION("IF(E75="""","""",TEXTJOIN(""|"",TRUE,UNIQUE(FILTER('29_FUNCTION_STANDARD_MAP'!B$2:B$43,ISNUMBER(SEARCH(""|""&amp;E75&amp;""|"",""|""&amp;'29_FUNCTION_STANDARD_MAP'!E$2:E$43&amp;""|""))))))"),"WADIR2|BAG_AKPK")</f>
        <v>WADIR2|BAG_AKPK</v>
      </c>
      <c r="M75" s="7" t="s">
        <v>1371</v>
      </c>
      <c r="N75" s="7" t="s">
        <v>2350</v>
      </c>
      <c r="O75" s="7" t="s">
        <v>1465</v>
      </c>
      <c r="P75" s="7">
        <v>2.0</v>
      </c>
      <c r="Q75" s="7" t="b">
        <v>1</v>
      </c>
      <c r="R75" s="7" t="s">
        <v>3558</v>
      </c>
      <c r="S75" s="7" t="s">
        <v>329</v>
      </c>
      <c r="T75" s="7" t="s">
        <v>4093</v>
      </c>
    </row>
    <row r="76">
      <c r="A76" s="7" t="s">
        <v>2351</v>
      </c>
      <c r="B76" s="7" t="s">
        <v>2352</v>
      </c>
      <c r="C76" s="7" t="s">
        <v>2336</v>
      </c>
      <c r="D76" s="7" t="s">
        <v>2353</v>
      </c>
      <c r="E76" s="7" t="s">
        <v>3650</v>
      </c>
      <c r="F76" s="7" t="s">
        <v>3651</v>
      </c>
      <c r="G76" s="7" t="s">
        <v>4013</v>
      </c>
      <c r="H76" s="7" t="s">
        <v>3652</v>
      </c>
      <c r="I76" s="7" t="s">
        <v>4014</v>
      </c>
      <c r="J76" s="7" t="s">
        <v>2354</v>
      </c>
      <c r="K76" s="7" t="str">
        <f>IFERROR(__xludf.DUMMYFUNCTION("IF(E76="""","""",TEXTJOIN(""|"",TRUE,FILTER('29_FUNCTION_STANDARD_MAP'!A$2:A$43,ISNUMBER(SEARCH(""|""&amp;E76&amp;""|"",""|""&amp;'29_FUNCTION_STANDARD_MAP'!E$2:E$43&amp;""|"")))))"),"F-WD2-01|F-BAKPK-02")</f>
        <v>F-WD2-01|F-BAKPK-02</v>
      </c>
      <c r="L76" s="7" t="str">
        <f>IFERROR(__xludf.DUMMYFUNCTION("IF(E76="""","""",TEXTJOIN(""|"",TRUE,UNIQUE(FILTER('29_FUNCTION_STANDARD_MAP'!B$2:B$43,ISNUMBER(SEARCH(""|""&amp;E76&amp;""|"",""|""&amp;'29_FUNCTION_STANDARD_MAP'!E$2:E$43&amp;""|""))))))"),"WADIR2|BAG_AKPK")</f>
        <v>WADIR2|BAG_AKPK</v>
      </c>
      <c r="M76" s="7" t="s">
        <v>1371</v>
      </c>
      <c r="N76" s="7" t="s">
        <v>2355</v>
      </c>
      <c r="O76" s="7" t="s">
        <v>1465</v>
      </c>
      <c r="P76" s="7">
        <v>2.0</v>
      </c>
      <c r="Q76" s="7" t="b">
        <v>1</v>
      </c>
      <c r="R76" s="7" t="s">
        <v>3558</v>
      </c>
      <c r="S76" s="7" t="s">
        <v>329</v>
      </c>
      <c r="T76" s="7" t="s">
        <v>4093</v>
      </c>
    </row>
    <row r="77">
      <c r="A77" s="7" t="s">
        <v>2356</v>
      </c>
      <c r="B77" s="7" t="s">
        <v>2357</v>
      </c>
      <c r="C77" s="7" t="s">
        <v>2336</v>
      </c>
      <c r="D77" s="7" t="s">
        <v>2358</v>
      </c>
      <c r="E77" s="7" t="s">
        <v>3650</v>
      </c>
      <c r="F77" s="7" t="s">
        <v>3651</v>
      </c>
      <c r="G77" s="7" t="s">
        <v>4013</v>
      </c>
      <c r="H77" s="7" t="s">
        <v>3652</v>
      </c>
      <c r="I77" s="7" t="s">
        <v>4014</v>
      </c>
      <c r="J77" s="7" t="s">
        <v>1760</v>
      </c>
      <c r="K77" s="7" t="str">
        <f>IFERROR(__xludf.DUMMYFUNCTION("IF(E77="""","""",TEXTJOIN(""|"",TRUE,FILTER('29_FUNCTION_STANDARD_MAP'!A$2:A$43,ISNUMBER(SEARCH(""|""&amp;E77&amp;""|"",""|""&amp;'29_FUNCTION_STANDARD_MAP'!E$2:E$43&amp;""|"")))))"),"F-WD2-01|F-BAKPK-02")</f>
        <v>F-WD2-01|F-BAKPK-02</v>
      </c>
      <c r="L77" s="7" t="str">
        <f>IFERROR(__xludf.DUMMYFUNCTION("IF(E77="""","""",TEXTJOIN(""|"",TRUE,UNIQUE(FILTER('29_FUNCTION_STANDARD_MAP'!B$2:B$43,ISNUMBER(SEARCH(""|""&amp;E77&amp;""|"",""|""&amp;'29_FUNCTION_STANDARD_MAP'!E$2:E$43&amp;""|""))))))"),"WADIR2|BAG_AKPK")</f>
        <v>WADIR2|BAG_AKPK</v>
      </c>
      <c r="M77" s="7" t="s">
        <v>1371</v>
      </c>
      <c r="N77" s="7" t="s">
        <v>2359</v>
      </c>
      <c r="O77" s="7" t="s">
        <v>1465</v>
      </c>
      <c r="P77" s="7">
        <v>2.0</v>
      </c>
      <c r="Q77" s="7" t="b">
        <v>1</v>
      </c>
      <c r="R77" s="7" t="s">
        <v>3558</v>
      </c>
      <c r="S77" s="7" t="s">
        <v>329</v>
      </c>
      <c r="T77" s="7" t="s">
        <v>4093</v>
      </c>
    </row>
    <row r="78">
      <c r="A78" s="7" t="s">
        <v>2360</v>
      </c>
      <c r="B78" s="7" t="s">
        <v>2361</v>
      </c>
      <c r="C78" s="7" t="s">
        <v>2336</v>
      </c>
      <c r="D78" s="7" t="s">
        <v>2362</v>
      </c>
      <c r="E78" s="7" t="s">
        <v>3650</v>
      </c>
      <c r="F78" s="7" t="s">
        <v>3651</v>
      </c>
      <c r="G78" s="7" t="s">
        <v>4013</v>
      </c>
      <c r="H78" s="7" t="s">
        <v>3652</v>
      </c>
      <c r="I78" s="7" t="s">
        <v>4014</v>
      </c>
      <c r="J78" s="7" t="s">
        <v>1770</v>
      </c>
      <c r="K78" s="7" t="str">
        <f>IFERROR(__xludf.DUMMYFUNCTION("IF(E78="""","""",TEXTJOIN(""|"",TRUE,FILTER('29_FUNCTION_STANDARD_MAP'!A$2:A$43,ISNUMBER(SEARCH(""|""&amp;E78&amp;""|"",""|""&amp;'29_FUNCTION_STANDARD_MAP'!E$2:E$43&amp;""|"")))))"),"F-WD2-01|F-BAKPK-02")</f>
        <v>F-WD2-01|F-BAKPK-02</v>
      </c>
      <c r="L78" s="7" t="str">
        <f>IFERROR(__xludf.DUMMYFUNCTION("IF(E78="""","""",TEXTJOIN(""|"",TRUE,UNIQUE(FILTER('29_FUNCTION_STANDARD_MAP'!B$2:B$43,ISNUMBER(SEARCH(""|""&amp;E78&amp;""|"",""|""&amp;'29_FUNCTION_STANDARD_MAP'!E$2:E$43&amp;""|""))))))"),"WADIR2|BAG_AKPK")</f>
        <v>WADIR2|BAG_AKPK</v>
      </c>
      <c r="M78" s="7" t="s">
        <v>1371</v>
      </c>
      <c r="N78" s="7" t="s">
        <v>2363</v>
      </c>
      <c r="O78" s="7" t="s">
        <v>1465</v>
      </c>
      <c r="P78" s="7">
        <v>2.0</v>
      </c>
      <c r="Q78" s="7" t="b">
        <v>1</v>
      </c>
      <c r="R78" s="7" t="s">
        <v>3558</v>
      </c>
      <c r="S78" s="7" t="s">
        <v>329</v>
      </c>
      <c r="T78" s="7" t="s">
        <v>4093</v>
      </c>
    </row>
    <row r="79">
      <c r="A79" s="7" t="s">
        <v>2364</v>
      </c>
      <c r="B79" s="7" t="s">
        <v>2365</v>
      </c>
      <c r="C79" s="7" t="s">
        <v>2336</v>
      </c>
      <c r="D79" s="7" t="s">
        <v>2366</v>
      </c>
      <c r="E79" s="7" t="s">
        <v>3650</v>
      </c>
      <c r="F79" s="7" t="s">
        <v>3651</v>
      </c>
      <c r="G79" s="7" t="s">
        <v>4013</v>
      </c>
      <c r="H79" s="7" t="s">
        <v>3652</v>
      </c>
      <c r="I79" s="7" t="s">
        <v>4014</v>
      </c>
      <c r="J79" s="7">
        <v>10.3</v>
      </c>
      <c r="K79" s="7" t="str">
        <f>IFERROR(__xludf.DUMMYFUNCTION("IF(E79="""","""",TEXTJOIN(""|"",TRUE,FILTER('29_FUNCTION_STANDARD_MAP'!A$2:A$43,ISNUMBER(SEARCH(""|""&amp;E79&amp;""|"",""|""&amp;'29_FUNCTION_STANDARD_MAP'!E$2:E$43&amp;""|"")))))"),"F-WD2-01|F-BAKPK-02")</f>
        <v>F-WD2-01|F-BAKPK-02</v>
      </c>
      <c r="L79" s="7" t="str">
        <f>IFERROR(__xludf.DUMMYFUNCTION("IF(E79="""","""",TEXTJOIN(""|"",TRUE,UNIQUE(FILTER('29_FUNCTION_STANDARD_MAP'!B$2:B$43,ISNUMBER(SEARCH(""|""&amp;E79&amp;""|"",""|""&amp;'29_FUNCTION_STANDARD_MAP'!E$2:E$43&amp;""|""))))))"),"WADIR2|BAG_AKPK")</f>
        <v>WADIR2|BAG_AKPK</v>
      </c>
      <c r="M79" s="7" t="s">
        <v>1371</v>
      </c>
      <c r="N79" s="7" t="s">
        <v>2367</v>
      </c>
      <c r="O79" s="7" t="s">
        <v>1465</v>
      </c>
      <c r="P79" s="7">
        <v>2.0</v>
      </c>
      <c r="Q79" s="7" t="b">
        <v>1</v>
      </c>
      <c r="R79" s="7" t="s">
        <v>3558</v>
      </c>
      <c r="S79" s="7" t="s">
        <v>329</v>
      </c>
      <c r="T79" s="7" t="s">
        <v>4093</v>
      </c>
    </row>
    <row r="80">
      <c r="A80" s="7" t="s">
        <v>2368</v>
      </c>
      <c r="B80" s="7" t="s">
        <v>2369</v>
      </c>
      <c r="C80" s="7" t="s">
        <v>2370</v>
      </c>
      <c r="D80" s="7" t="s">
        <v>2371</v>
      </c>
      <c r="E80" s="7" t="s">
        <v>3661</v>
      </c>
      <c r="F80" s="7" t="s">
        <v>3662</v>
      </c>
      <c r="G80" s="7" t="s">
        <v>4017</v>
      </c>
      <c r="H80" s="7" t="s">
        <v>3663</v>
      </c>
      <c r="I80" s="7" t="s">
        <v>4018</v>
      </c>
      <c r="J80" s="7">
        <v>8.1</v>
      </c>
      <c r="K80" s="7" t="str">
        <f>IFERROR(__xludf.DUMMYFUNCTION("IF(E80="""","""",TEXTJOIN(""|"",TRUE,FILTER('29_FUNCTION_STANDARD_MAP'!A$2:A$43,ISNUMBER(SEARCH(""|""&amp;E80&amp;""|"",""|""&amp;'29_FUNCTION_STANDARD_MAP'!E$2:E$43&amp;""|"")))))"),"F-WD2-01|F-BUK-01")</f>
        <v>F-WD2-01|F-BUK-01</v>
      </c>
      <c r="L80" s="7" t="str">
        <f>IFERROR(__xludf.DUMMYFUNCTION("IF(E80="""","""",TEXTJOIN(""|"",TRUE,UNIQUE(FILTER('29_FUNCTION_STANDARD_MAP'!B$2:B$43,ISNUMBER(SEARCH(""|""&amp;E80&amp;""|"",""|""&amp;'29_FUNCTION_STANDARD_MAP'!E$2:E$43&amp;""|""))))))"),"WADIR2|BAG_UK")</f>
        <v>WADIR2|BAG_UK</v>
      </c>
      <c r="M80" s="7" t="s">
        <v>1376</v>
      </c>
      <c r="N80" s="7" t="s">
        <v>2372</v>
      </c>
      <c r="O80" s="7" t="s">
        <v>1452</v>
      </c>
      <c r="P80" s="7">
        <v>3.0</v>
      </c>
      <c r="Q80" s="7" t="b">
        <v>1</v>
      </c>
      <c r="R80" s="7" t="s">
        <v>3558</v>
      </c>
      <c r="S80" s="7" t="s">
        <v>329</v>
      </c>
      <c r="T80" s="7" t="s">
        <v>4093</v>
      </c>
    </row>
    <row r="81">
      <c r="A81" s="7" t="s">
        <v>2373</v>
      </c>
      <c r="B81" s="7" t="s">
        <v>2374</v>
      </c>
      <c r="C81" s="7" t="s">
        <v>2370</v>
      </c>
      <c r="D81" s="7" t="s">
        <v>2375</v>
      </c>
      <c r="E81" s="7" t="s">
        <v>3661</v>
      </c>
      <c r="F81" s="7" t="s">
        <v>3662</v>
      </c>
      <c r="G81" s="7" t="s">
        <v>4017</v>
      </c>
      <c r="H81" s="7" t="s">
        <v>3663</v>
      </c>
      <c r="I81" s="7" t="s">
        <v>4018</v>
      </c>
      <c r="J81" s="7" t="s">
        <v>2376</v>
      </c>
      <c r="K81" s="7" t="str">
        <f>IFERROR(__xludf.DUMMYFUNCTION("IF(E81="""","""",TEXTJOIN(""|"",TRUE,FILTER('29_FUNCTION_STANDARD_MAP'!A$2:A$43,ISNUMBER(SEARCH(""|""&amp;E81&amp;""|"",""|""&amp;'29_FUNCTION_STANDARD_MAP'!E$2:E$43&amp;""|"")))))"),"F-WD2-01|F-BUK-01")</f>
        <v>F-WD2-01|F-BUK-01</v>
      </c>
      <c r="L81" s="7" t="str">
        <f>IFERROR(__xludf.DUMMYFUNCTION("IF(E81="""","""",TEXTJOIN(""|"",TRUE,UNIQUE(FILTER('29_FUNCTION_STANDARD_MAP'!B$2:B$43,ISNUMBER(SEARCH(""|""&amp;E81&amp;""|"",""|""&amp;'29_FUNCTION_STANDARD_MAP'!E$2:E$43&amp;""|""))))))"),"WADIR2|BAG_UK")</f>
        <v>WADIR2|BAG_UK</v>
      </c>
      <c r="M81" s="7" t="s">
        <v>1376</v>
      </c>
      <c r="N81" s="7" t="s">
        <v>2377</v>
      </c>
      <c r="O81" s="7" t="s">
        <v>1452</v>
      </c>
      <c r="P81" s="7">
        <v>3.0</v>
      </c>
      <c r="Q81" s="7" t="b">
        <v>1</v>
      </c>
      <c r="R81" s="7" t="s">
        <v>3558</v>
      </c>
      <c r="S81" s="7" t="s">
        <v>329</v>
      </c>
      <c r="T81" s="7" t="s">
        <v>4093</v>
      </c>
    </row>
    <row r="82">
      <c r="A82" s="7" t="s">
        <v>2378</v>
      </c>
      <c r="B82" s="7" t="s">
        <v>2379</v>
      </c>
      <c r="C82" s="7" t="s">
        <v>2370</v>
      </c>
      <c r="D82" s="7" t="s">
        <v>2380</v>
      </c>
      <c r="E82" s="7" t="s">
        <v>3661</v>
      </c>
      <c r="F82" s="7" t="s">
        <v>3662</v>
      </c>
      <c r="G82" s="7" t="s">
        <v>4017</v>
      </c>
      <c r="H82" s="7" t="s">
        <v>3663</v>
      </c>
      <c r="I82" s="7" t="s">
        <v>4018</v>
      </c>
      <c r="J82" s="7" t="s">
        <v>2381</v>
      </c>
      <c r="K82" s="7" t="str">
        <f>IFERROR(__xludf.DUMMYFUNCTION("IF(E82="""","""",TEXTJOIN(""|"",TRUE,FILTER('29_FUNCTION_STANDARD_MAP'!A$2:A$43,ISNUMBER(SEARCH(""|""&amp;E82&amp;""|"",""|""&amp;'29_FUNCTION_STANDARD_MAP'!E$2:E$43&amp;""|"")))))"),"F-WD2-01|F-BUK-01")</f>
        <v>F-WD2-01|F-BUK-01</v>
      </c>
      <c r="L82" s="7" t="str">
        <f>IFERROR(__xludf.DUMMYFUNCTION("IF(E82="""","""",TEXTJOIN(""|"",TRUE,UNIQUE(FILTER('29_FUNCTION_STANDARD_MAP'!B$2:B$43,ISNUMBER(SEARCH(""|""&amp;E82&amp;""|"",""|""&amp;'29_FUNCTION_STANDARD_MAP'!E$2:E$43&amp;""|""))))))"),"WADIR2|BAG_UK")</f>
        <v>WADIR2|BAG_UK</v>
      </c>
      <c r="M82" s="7" t="s">
        <v>1376</v>
      </c>
      <c r="N82" s="7" t="s">
        <v>2382</v>
      </c>
      <c r="O82" s="7" t="s">
        <v>1452</v>
      </c>
      <c r="P82" s="7">
        <v>3.0</v>
      </c>
      <c r="Q82" s="7" t="b">
        <v>1</v>
      </c>
      <c r="R82" s="7" t="s">
        <v>3558</v>
      </c>
      <c r="S82" s="7" t="s">
        <v>329</v>
      </c>
      <c r="T82" s="7" t="s">
        <v>4093</v>
      </c>
    </row>
    <row r="83">
      <c r="A83" s="7" t="s">
        <v>2383</v>
      </c>
      <c r="B83" s="7" t="s">
        <v>2384</v>
      </c>
      <c r="C83" s="7" t="s">
        <v>2370</v>
      </c>
      <c r="D83" s="7" t="s">
        <v>2385</v>
      </c>
      <c r="E83" s="7" t="s">
        <v>3661</v>
      </c>
      <c r="F83" s="7" t="s">
        <v>3662</v>
      </c>
      <c r="G83" s="7" t="s">
        <v>4017</v>
      </c>
      <c r="H83" s="7" t="s">
        <v>3663</v>
      </c>
      <c r="I83" s="7" t="s">
        <v>4018</v>
      </c>
      <c r="J83" s="7">
        <v>8.6</v>
      </c>
      <c r="K83" s="7" t="str">
        <f>IFERROR(__xludf.DUMMYFUNCTION("IF(E83="""","""",TEXTJOIN(""|"",TRUE,FILTER('29_FUNCTION_STANDARD_MAP'!A$2:A$43,ISNUMBER(SEARCH(""|""&amp;E83&amp;""|"",""|""&amp;'29_FUNCTION_STANDARD_MAP'!E$2:E$43&amp;""|"")))))"),"F-WD2-01|F-BUK-01")</f>
        <v>F-WD2-01|F-BUK-01</v>
      </c>
      <c r="L83" s="7" t="str">
        <f>IFERROR(__xludf.DUMMYFUNCTION("IF(E83="""","""",TEXTJOIN(""|"",TRUE,UNIQUE(FILTER('29_FUNCTION_STANDARD_MAP'!B$2:B$43,ISNUMBER(SEARCH(""|""&amp;E83&amp;""|"",""|""&amp;'29_FUNCTION_STANDARD_MAP'!E$2:E$43&amp;""|""))))))"),"WADIR2|BAG_UK")</f>
        <v>WADIR2|BAG_UK</v>
      </c>
      <c r="M83" s="7" t="s">
        <v>1376</v>
      </c>
      <c r="N83" s="7" t="s">
        <v>2386</v>
      </c>
      <c r="O83" s="7" t="s">
        <v>1452</v>
      </c>
      <c r="P83" s="7">
        <v>3.0</v>
      </c>
      <c r="Q83" s="7" t="b">
        <v>1</v>
      </c>
      <c r="R83" s="7" t="s">
        <v>3558</v>
      </c>
      <c r="S83" s="7" t="s">
        <v>329</v>
      </c>
      <c r="T83" s="7" t="s">
        <v>4093</v>
      </c>
    </row>
    <row r="84">
      <c r="A84" s="7" t="s">
        <v>2387</v>
      </c>
      <c r="B84" s="7" t="s">
        <v>2388</v>
      </c>
      <c r="C84" s="7" t="s">
        <v>2370</v>
      </c>
      <c r="D84" s="7" t="s">
        <v>2389</v>
      </c>
      <c r="E84" s="7" t="s">
        <v>3661</v>
      </c>
      <c r="F84" s="7" t="s">
        <v>3662</v>
      </c>
      <c r="G84" s="7" t="s">
        <v>4017</v>
      </c>
      <c r="H84" s="7" t="s">
        <v>3663</v>
      </c>
      <c r="I84" s="7" t="s">
        <v>4018</v>
      </c>
      <c r="J84" s="7" t="s">
        <v>1760</v>
      </c>
      <c r="K84" s="7" t="str">
        <f>IFERROR(__xludf.DUMMYFUNCTION("IF(E84="""","""",TEXTJOIN(""|"",TRUE,FILTER('29_FUNCTION_STANDARD_MAP'!A$2:A$43,ISNUMBER(SEARCH(""|""&amp;E84&amp;""|"",""|""&amp;'29_FUNCTION_STANDARD_MAP'!E$2:E$43&amp;""|"")))))"),"F-WD2-01|F-BUK-01")</f>
        <v>F-WD2-01|F-BUK-01</v>
      </c>
      <c r="L84" s="7" t="str">
        <f>IFERROR(__xludf.DUMMYFUNCTION("IF(E84="""","""",TEXTJOIN(""|"",TRUE,UNIQUE(FILTER('29_FUNCTION_STANDARD_MAP'!B$2:B$43,ISNUMBER(SEARCH(""|""&amp;E84&amp;""|"",""|""&amp;'29_FUNCTION_STANDARD_MAP'!E$2:E$43&amp;""|""))))))"),"WADIR2|BAG_UK")</f>
        <v>WADIR2|BAG_UK</v>
      </c>
      <c r="M84" s="7" t="s">
        <v>1376</v>
      </c>
      <c r="N84" s="7" t="s">
        <v>2390</v>
      </c>
      <c r="O84" s="7" t="s">
        <v>1452</v>
      </c>
      <c r="P84" s="7">
        <v>3.0</v>
      </c>
      <c r="Q84" s="7" t="b">
        <v>1</v>
      </c>
      <c r="R84" s="7" t="s">
        <v>3558</v>
      </c>
      <c r="S84" s="7" t="s">
        <v>329</v>
      </c>
      <c r="T84" s="7" t="s">
        <v>4093</v>
      </c>
    </row>
    <row r="85">
      <c r="A85" s="7" t="s">
        <v>2391</v>
      </c>
      <c r="B85" s="7" t="s">
        <v>2392</v>
      </c>
      <c r="C85" s="7" t="s">
        <v>2370</v>
      </c>
      <c r="D85" s="7" t="s">
        <v>2393</v>
      </c>
      <c r="E85" s="7" t="s">
        <v>3661</v>
      </c>
      <c r="F85" s="7" t="s">
        <v>3662</v>
      </c>
      <c r="G85" s="7" t="s">
        <v>4017</v>
      </c>
      <c r="H85" s="7" t="s">
        <v>3663</v>
      </c>
      <c r="I85" s="7" t="s">
        <v>4018</v>
      </c>
      <c r="J85" s="7" t="s">
        <v>2394</v>
      </c>
      <c r="K85" s="7" t="str">
        <f>IFERROR(__xludf.DUMMYFUNCTION("IF(E85="""","""",TEXTJOIN(""|"",TRUE,FILTER('29_FUNCTION_STANDARD_MAP'!A$2:A$43,ISNUMBER(SEARCH(""|""&amp;E85&amp;""|"",""|""&amp;'29_FUNCTION_STANDARD_MAP'!E$2:E$43&amp;""|"")))))"),"F-WD2-01|F-BUK-01")</f>
        <v>F-WD2-01|F-BUK-01</v>
      </c>
      <c r="L85" s="7" t="str">
        <f>IFERROR(__xludf.DUMMYFUNCTION("IF(E85="""","""",TEXTJOIN(""|"",TRUE,UNIQUE(FILTER('29_FUNCTION_STANDARD_MAP'!B$2:B$43,ISNUMBER(SEARCH(""|""&amp;E85&amp;""|"",""|""&amp;'29_FUNCTION_STANDARD_MAP'!E$2:E$43&amp;""|""))))))"),"WADIR2|BAG_UK")</f>
        <v>WADIR2|BAG_UK</v>
      </c>
      <c r="M85" s="7" t="s">
        <v>1376</v>
      </c>
      <c r="N85" s="7" t="s">
        <v>2395</v>
      </c>
      <c r="O85" s="7" t="s">
        <v>1452</v>
      </c>
      <c r="P85" s="7">
        <v>3.0</v>
      </c>
      <c r="Q85" s="7" t="b">
        <v>1</v>
      </c>
      <c r="R85" s="7" t="s">
        <v>3558</v>
      </c>
      <c r="S85" s="7" t="s">
        <v>329</v>
      </c>
      <c r="T85" s="7" t="s">
        <v>4093</v>
      </c>
    </row>
    <row r="86">
      <c r="A86" s="7" t="s">
        <v>2396</v>
      </c>
      <c r="B86" s="7" t="s">
        <v>2397</v>
      </c>
      <c r="C86" s="7" t="s">
        <v>2370</v>
      </c>
      <c r="D86" s="7" t="s">
        <v>2398</v>
      </c>
      <c r="E86" s="7" t="s">
        <v>3661</v>
      </c>
      <c r="F86" s="7" t="s">
        <v>3662</v>
      </c>
      <c r="G86" s="7" t="s">
        <v>4017</v>
      </c>
      <c r="H86" s="7" t="s">
        <v>3663</v>
      </c>
      <c r="I86" s="7" t="s">
        <v>4018</v>
      </c>
      <c r="J86" s="7" t="s">
        <v>2399</v>
      </c>
      <c r="K86" s="7" t="str">
        <f>IFERROR(__xludf.DUMMYFUNCTION("IF(E86="""","""",TEXTJOIN(""|"",TRUE,FILTER('29_FUNCTION_STANDARD_MAP'!A$2:A$43,ISNUMBER(SEARCH(""|""&amp;E86&amp;""|"",""|""&amp;'29_FUNCTION_STANDARD_MAP'!E$2:E$43&amp;""|"")))))"),"F-WD2-01|F-BUK-01")</f>
        <v>F-WD2-01|F-BUK-01</v>
      </c>
      <c r="L86" s="7" t="str">
        <f>IFERROR(__xludf.DUMMYFUNCTION("IF(E86="""","""",TEXTJOIN(""|"",TRUE,UNIQUE(FILTER('29_FUNCTION_STANDARD_MAP'!B$2:B$43,ISNUMBER(SEARCH(""|""&amp;E86&amp;""|"",""|""&amp;'29_FUNCTION_STANDARD_MAP'!E$2:E$43&amp;""|""))))))"),"WADIR2|BAG_UK")</f>
        <v>WADIR2|BAG_UK</v>
      </c>
      <c r="M86" s="7" t="s">
        <v>1376</v>
      </c>
      <c r="N86" s="7" t="s">
        <v>2400</v>
      </c>
      <c r="O86" s="7" t="s">
        <v>1452</v>
      </c>
      <c r="P86" s="7">
        <v>3.0</v>
      </c>
      <c r="Q86" s="7" t="b">
        <v>1</v>
      </c>
      <c r="R86" s="7" t="s">
        <v>3558</v>
      </c>
      <c r="S86" s="7" t="s">
        <v>329</v>
      </c>
      <c r="T86" s="7" t="s">
        <v>4093</v>
      </c>
    </row>
    <row r="87">
      <c r="A87" s="7" t="s">
        <v>2401</v>
      </c>
      <c r="B87" s="7" t="s">
        <v>2402</v>
      </c>
      <c r="C87" s="7" t="s">
        <v>2370</v>
      </c>
      <c r="D87" s="7" t="s">
        <v>2403</v>
      </c>
      <c r="E87" s="7" t="s">
        <v>3661</v>
      </c>
      <c r="F87" s="7" t="s">
        <v>3662</v>
      </c>
      <c r="G87" s="7" t="s">
        <v>4017</v>
      </c>
      <c r="H87" s="7" t="s">
        <v>3663</v>
      </c>
      <c r="I87" s="7" t="s">
        <v>4018</v>
      </c>
      <c r="J87" s="7">
        <v>8.1</v>
      </c>
      <c r="K87" s="7" t="str">
        <f>IFERROR(__xludf.DUMMYFUNCTION("IF(E87="""","""",TEXTJOIN(""|"",TRUE,FILTER('29_FUNCTION_STANDARD_MAP'!A$2:A$43,ISNUMBER(SEARCH(""|""&amp;E87&amp;""|"",""|""&amp;'29_FUNCTION_STANDARD_MAP'!E$2:E$43&amp;""|"")))))"),"F-WD2-01|F-BUK-01")</f>
        <v>F-WD2-01|F-BUK-01</v>
      </c>
      <c r="L87" s="7" t="str">
        <f>IFERROR(__xludf.DUMMYFUNCTION("IF(E87="""","""",TEXTJOIN(""|"",TRUE,UNIQUE(FILTER('29_FUNCTION_STANDARD_MAP'!B$2:B$43,ISNUMBER(SEARCH(""|""&amp;E87&amp;""|"",""|""&amp;'29_FUNCTION_STANDARD_MAP'!E$2:E$43&amp;""|""))))))"),"WADIR2|BAG_UK")</f>
        <v>WADIR2|BAG_UK</v>
      </c>
      <c r="M87" s="7" t="s">
        <v>1376</v>
      </c>
      <c r="N87" s="7" t="s">
        <v>2404</v>
      </c>
      <c r="O87" s="7" t="s">
        <v>1452</v>
      </c>
      <c r="P87" s="7">
        <v>3.0</v>
      </c>
      <c r="Q87" s="7" t="b">
        <v>1</v>
      </c>
      <c r="R87" s="7" t="s">
        <v>3558</v>
      </c>
      <c r="S87" s="7" t="s">
        <v>329</v>
      </c>
      <c r="T87" s="7" t="s">
        <v>4093</v>
      </c>
    </row>
    <row r="88">
      <c r="A88" s="7" t="s">
        <v>2405</v>
      </c>
      <c r="B88" s="7" t="s">
        <v>2406</v>
      </c>
      <c r="C88" s="7" t="s">
        <v>2370</v>
      </c>
      <c r="D88" s="7" t="s">
        <v>2407</v>
      </c>
      <c r="E88" s="7" t="s">
        <v>3661</v>
      </c>
      <c r="F88" s="7" t="s">
        <v>3662</v>
      </c>
      <c r="G88" s="7" t="s">
        <v>4017</v>
      </c>
      <c r="H88" s="7" t="s">
        <v>3663</v>
      </c>
      <c r="I88" s="7" t="s">
        <v>4018</v>
      </c>
      <c r="J88" s="7" t="s">
        <v>1701</v>
      </c>
      <c r="K88" s="7" t="str">
        <f>IFERROR(__xludf.DUMMYFUNCTION("IF(E88="""","""",TEXTJOIN(""|"",TRUE,FILTER('29_FUNCTION_STANDARD_MAP'!A$2:A$43,ISNUMBER(SEARCH(""|""&amp;E88&amp;""|"",""|""&amp;'29_FUNCTION_STANDARD_MAP'!E$2:E$43&amp;""|"")))))"),"F-WD2-01|F-BUK-01")</f>
        <v>F-WD2-01|F-BUK-01</v>
      </c>
      <c r="L88" s="7" t="str">
        <f>IFERROR(__xludf.DUMMYFUNCTION("IF(E88="""","""",TEXTJOIN(""|"",TRUE,UNIQUE(FILTER('29_FUNCTION_STANDARD_MAP'!B$2:B$43,ISNUMBER(SEARCH(""|""&amp;E88&amp;""|"",""|""&amp;'29_FUNCTION_STANDARD_MAP'!E$2:E$43&amp;""|""))))))"),"WADIR2|BAG_UK")</f>
        <v>WADIR2|BAG_UK</v>
      </c>
      <c r="M88" s="7" t="s">
        <v>1376</v>
      </c>
      <c r="N88" s="7" t="s">
        <v>2408</v>
      </c>
      <c r="O88" s="7" t="s">
        <v>1452</v>
      </c>
      <c r="P88" s="7">
        <v>3.0</v>
      </c>
      <c r="Q88" s="7" t="b">
        <v>1</v>
      </c>
      <c r="R88" s="7" t="s">
        <v>3558</v>
      </c>
      <c r="S88" s="7" t="s">
        <v>329</v>
      </c>
      <c r="T88" s="7" t="s">
        <v>4093</v>
      </c>
    </row>
    <row r="89">
      <c r="A89" s="7" t="s">
        <v>2409</v>
      </c>
      <c r="B89" s="7" t="s">
        <v>2410</v>
      </c>
      <c r="C89" s="7" t="s">
        <v>2370</v>
      </c>
      <c r="D89" s="7" t="s">
        <v>2411</v>
      </c>
      <c r="E89" s="7" t="s">
        <v>3661</v>
      </c>
      <c r="F89" s="7" t="s">
        <v>3662</v>
      </c>
      <c r="G89" s="7" t="s">
        <v>4017</v>
      </c>
      <c r="H89" s="7" t="s">
        <v>3663</v>
      </c>
      <c r="I89" s="7" t="s">
        <v>4018</v>
      </c>
      <c r="J89" s="7" t="s">
        <v>2412</v>
      </c>
      <c r="K89" s="7" t="str">
        <f>IFERROR(__xludf.DUMMYFUNCTION("IF(E89="""","""",TEXTJOIN(""|"",TRUE,FILTER('29_FUNCTION_STANDARD_MAP'!A$2:A$43,ISNUMBER(SEARCH(""|""&amp;E89&amp;""|"",""|""&amp;'29_FUNCTION_STANDARD_MAP'!E$2:E$43&amp;""|"")))))"),"F-WD2-01|F-BUK-01")</f>
        <v>F-WD2-01|F-BUK-01</v>
      </c>
      <c r="L89" s="7" t="str">
        <f>IFERROR(__xludf.DUMMYFUNCTION("IF(E89="""","""",TEXTJOIN(""|"",TRUE,UNIQUE(FILTER('29_FUNCTION_STANDARD_MAP'!B$2:B$43,ISNUMBER(SEARCH(""|""&amp;E89&amp;""|"",""|""&amp;'29_FUNCTION_STANDARD_MAP'!E$2:E$43&amp;""|""))))))"),"WADIR2|BAG_UK")</f>
        <v>WADIR2|BAG_UK</v>
      </c>
      <c r="M89" s="7" t="s">
        <v>1376</v>
      </c>
      <c r="N89" s="7" t="s">
        <v>2413</v>
      </c>
      <c r="O89" s="7" t="s">
        <v>1452</v>
      </c>
      <c r="P89" s="7">
        <v>3.0</v>
      </c>
      <c r="Q89" s="7" t="b">
        <v>1</v>
      </c>
      <c r="R89" s="7" t="s">
        <v>3558</v>
      </c>
      <c r="S89" s="7" t="s">
        <v>329</v>
      </c>
      <c r="T89" s="7" t="s">
        <v>4093</v>
      </c>
    </row>
    <row r="90">
      <c r="A90" s="7" t="s">
        <v>2414</v>
      </c>
      <c r="B90" s="7" t="s">
        <v>2415</v>
      </c>
      <c r="C90" s="7" t="s">
        <v>2370</v>
      </c>
      <c r="D90" s="7" t="s">
        <v>2416</v>
      </c>
      <c r="E90" s="7" t="s">
        <v>3661</v>
      </c>
      <c r="F90" s="7" t="s">
        <v>3662</v>
      </c>
      <c r="G90" s="7" t="s">
        <v>4017</v>
      </c>
      <c r="H90" s="7" t="s">
        <v>3663</v>
      </c>
      <c r="I90" s="7" t="s">
        <v>4018</v>
      </c>
      <c r="J90" s="7" t="s">
        <v>2417</v>
      </c>
      <c r="K90" s="7" t="str">
        <f>IFERROR(__xludf.DUMMYFUNCTION("IF(E90="""","""",TEXTJOIN(""|"",TRUE,FILTER('29_FUNCTION_STANDARD_MAP'!A$2:A$43,ISNUMBER(SEARCH(""|""&amp;E90&amp;""|"",""|""&amp;'29_FUNCTION_STANDARD_MAP'!E$2:E$43&amp;""|"")))))"),"F-WD2-01|F-BUK-01")</f>
        <v>F-WD2-01|F-BUK-01</v>
      </c>
      <c r="L90" s="7" t="str">
        <f>IFERROR(__xludf.DUMMYFUNCTION("IF(E90="""","""",TEXTJOIN(""|"",TRUE,UNIQUE(FILTER('29_FUNCTION_STANDARD_MAP'!B$2:B$43,ISNUMBER(SEARCH(""|""&amp;E90&amp;""|"",""|""&amp;'29_FUNCTION_STANDARD_MAP'!E$2:E$43&amp;""|""))))))"),"WADIR2|BAG_UK")</f>
        <v>WADIR2|BAG_UK</v>
      </c>
      <c r="M90" s="7" t="s">
        <v>1376</v>
      </c>
      <c r="N90" s="7" t="s">
        <v>2418</v>
      </c>
      <c r="O90" s="7" t="s">
        <v>1452</v>
      </c>
      <c r="P90" s="7">
        <v>3.0</v>
      </c>
      <c r="Q90" s="7" t="b">
        <v>1</v>
      </c>
      <c r="R90" s="7" t="s">
        <v>3558</v>
      </c>
      <c r="S90" s="7" t="s">
        <v>329</v>
      </c>
      <c r="T90" s="7" t="s">
        <v>4093</v>
      </c>
    </row>
    <row r="91">
      <c r="A91" s="7" t="s">
        <v>2419</v>
      </c>
      <c r="B91" s="7" t="s">
        <v>2420</v>
      </c>
      <c r="C91" s="7" t="s">
        <v>2370</v>
      </c>
      <c r="D91" s="7" t="s">
        <v>2421</v>
      </c>
      <c r="E91" s="7" t="s">
        <v>3661</v>
      </c>
      <c r="F91" s="7" t="s">
        <v>3662</v>
      </c>
      <c r="G91" s="7" t="s">
        <v>4017</v>
      </c>
      <c r="H91" s="7" t="s">
        <v>3663</v>
      </c>
      <c r="I91" s="7" t="s">
        <v>4018</v>
      </c>
      <c r="J91" s="7">
        <v>10.2</v>
      </c>
      <c r="K91" s="7" t="str">
        <f>IFERROR(__xludf.DUMMYFUNCTION("IF(E91="""","""",TEXTJOIN(""|"",TRUE,FILTER('29_FUNCTION_STANDARD_MAP'!A$2:A$43,ISNUMBER(SEARCH(""|""&amp;E91&amp;""|"",""|""&amp;'29_FUNCTION_STANDARD_MAP'!E$2:E$43&amp;""|"")))))"),"F-WD2-01|F-BUK-01")</f>
        <v>F-WD2-01|F-BUK-01</v>
      </c>
      <c r="L91" s="7" t="str">
        <f>IFERROR(__xludf.DUMMYFUNCTION("IF(E91="""","""",TEXTJOIN(""|"",TRUE,UNIQUE(FILTER('29_FUNCTION_STANDARD_MAP'!B$2:B$43,ISNUMBER(SEARCH(""|""&amp;E91&amp;""|"",""|""&amp;'29_FUNCTION_STANDARD_MAP'!E$2:E$43&amp;""|""))))))"),"WADIR2|BAG_UK")</f>
        <v>WADIR2|BAG_UK</v>
      </c>
      <c r="M91" s="7" t="s">
        <v>1376</v>
      </c>
      <c r="N91" s="7" t="s">
        <v>2422</v>
      </c>
      <c r="O91" s="7" t="s">
        <v>1452</v>
      </c>
      <c r="P91" s="7">
        <v>3.0</v>
      </c>
      <c r="Q91" s="7" t="b">
        <v>1</v>
      </c>
      <c r="R91" s="7" t="s">
        <v>3558</v>
      </c>
      <c r="S91" s="7" t="s">
        <v>329</v>
      </c>
      <c r="T91" s="7" t="s">
        <v>4093</v>
      </c>
    </row>
    <row r="92">
      <c r="A92" s="7" t="s">
        <v>2423</v>
      </c>
      <c r="B92" s="7" t="s">
        <v>2424</v>
      </c>
      <c r="C92" s="7" t="s">
        <v>2425</v>
      </c>
      <c r="D92" s="7" t="s">
        <v>2426</v>
      </c>
      <c r="E92" s="7" t="s">
        <v>3676</v>
      </c>
      <c r="F92" s="7" t="s">
        <v>3677</v>
      </c>
      <c r="G92" s="7" t="s">
        <v>4021</v>
      </c>
      <c r="H92" s="7" t="s">
        <v>3584</v>
      </c>
      <c r="I92" s="7" t="s">
        <v>4022</v>
      </c>
      <c r="J92" s="7" t="s">
        <v>1654</v>
      </c>
      <c r="K92" s="7" t="str">
        <f>IFERROR(__xludf.DUMMYFUNCTION("IF(E92="""","""",TEXTJOIN(""|"",TRUE,FILTER('29_FUNCTION_STANDARD_MAP'!A$2:A$43,ISNUMBER(SEARCH(""|""&amp;E92&amp;""|"",""|""&amp;'29_FUNCTION_STANDARD_MAP'!E$2:E$43&amp;""|"")))))"),"F-WD2-01|F-BUK-02")</f>
        <v>F-WD2-01|F-BUK-02</v>
      </c>
      <c r="L92" s="7" t="str">
        <f>IFERROR(__xludf.DUMMYFUNCTION("IF(E92="""","""",TEXTJOIN(""|"",TRUE,UNIQUE(FILTER('29_FUNCTION_STANDARD_MAP'!B$2:B$43,ISNUMBER(SEARCH(""|""&amp;E92&amp;""|"",""|""&amp;'29_FUNCTION_STANDARD_MAP'!E$2:E$43&amp;""|""))))))"),"WADIR2|BAG_UK")</f>
        <v>WADIR2|BAG_UK</v>
      </c>
      <c r="M92" s="7" t="s">
        <v>1376</v>
      </c>
      <c r="N92" s="7" t="s">
        <v>2427</v>
      </c>
      <c r="O92" s="7" t="s">
        <v>1465</v>
      </c>
      <c r="P92" s="7">
        <v>2.0</v>
      </c>
      <c r="Q92" s="7" t="b">
        <v>1</v>
      </c>
      <c r="R92" s="7" t="s">
        <v>3558</v>
      </c>
      <c r="S92" s="7" t="s">
        <v>329</v>
      </c>
      <c r="T92" s="7" t="s">
        <v>4093</v>
      </c>
    </row>
    <row r="93">
      <c r="A93" s="7" t="s">
        <v>2428</v>
      </c>
      <c r="B93" s="7" t="s">
        <v>2429</v>
      </c>
      <c r="C93" s="7" t="s">
        <v>2425</v>
      </c>
      <c r="D93" s="7" t="s">
        <v>2430</v>
      </c>
      <c r="E93" s="7" t="s">
        <v>3676</v>
      </c>
      <c r="F93" s="7" t="s">
        <v>3677</v>
      </c>
      <c r="G93" s="7" t="s">
        <v>4021</v>
      </c>
      <c r="H93" s="7" t="s">
        <v>3584</v>
      </c>
      <c r="I93" s="7" t="s">
        <v>4022</v>
      </c>
      <c r="J93" s="7" t="s">
        <v>1701</v>
      </c>
      <c r="K93" s="7" t="str">
        <f>IFERROR(__xludf.DUMMYFUNCTION("IF(E93="""","""",TEXTJOIN(""|"",TRUE,FILTER('29_FUNCTION_STANDARD_MAP'!A$2:A$43,ISNUMBER(SEARCH(""|""&amp;E93&amp;""|"",""|""&amp;'29_FUNCTION_STANDARD_MAP'!E$2:E$43&amp;""|"")))))"),"F-WD2-01|F-BUK-02")</f>
        <v>F-WD2-01|F-BUK-02</v>
      </c>
      <c r="L93" s="7" t="str">
        <f>IFERROR(__xludf.DUMMYFUNCTION("IF(E93="""","""",TEXTJOIN(""|"",TRUE,UNIQUE(FILTER('29_FUNCTION_STANDARD_MAP'!B$2:B$43,ISNUMBER(SEARCH(""|""&amp;E93&amp;""|"",""|""&amp;'29_FUNCTION_STANDARD_MAP'!E$2:E$43&amp;""|""))))))"),"WADIR2|BAG_UK")</f>
        <v>WADIR2|BAG_UK</v>
      </c>
      <c r="M93" s="7" t="s">
        <v>1376</v>
      </c>
      <c r="N93" s="7" t="s">
        <v>2431</v>
      </c>
      <c r="O93" s="7" t="s">
        <v>1465</v>
      </c>
      <c r="P93" s="7">
        <v>2.0</v>
      </c>
      <c r="Q93" s="7" t="b">
        <v>1</v>
      </c>
      <c r="R93" s="7" t="s">
        <v>3558</v>
      </c>
      <c r="S93" s="7" t="s">
        <v>329</v>
      </c>
      <c r="T93" s="7" t="s">
        <v>4093</v>
      </c>
    </row>
    <row r="94">
      <c r="A94" s="7" t="s">
        <v>2432</v>
      </c>
      <c r="B94" s="7" t="s">
        <v>2433</v>
      </c>
      <c r="C94" s="7" t="s">
        <v>2425</v>
      </c>
      <c r="D94" s="7" t="s">
        <v>2434</v>
      </c>
      <c r="E94" s="7" t="s">
        <v>3676</v>
      </c>
      <c r="F94" s="7" t="s">
        <v>3677</v>
      </c>
      <c r="G94" s="7" t="s">
        <v>4021</v>
      </c>
      <c r="H94" s="7" t="s">
        <v>3584</v>
      </c>
      <c r="I94" s="7" t="s">
        <v>4022</v>
      </c>
      <c r="J94" s="7" t="s">
        <v>2381</v>
      </c>
      <c r="K94" s="7" t="str">
        <f>IFERROR(__xludf.DUMMYFUNCTION("IF(E94="""","""",TEXTJOIN(""|"",TRUE,FILTER('29_FUNCTION_STANDARD_MAP'!A$2:A$43,ISNUMBER(SEARCH(""|""&amp;E94&amp;""|"",""|""&amp;'29_FUNCTION_STANDARD_MAP'!E$2:E$43&amp;""|"")))))"),"F-WD2-01|F-BUK-02")</f>
        <v>F-WD2-01|F-BUK-02</v>
      </c>
      <c r="L94" s="7" t="str">
        <f>IFERROR(__xludf.DUMMYFUNCTION("IF(E94="""","""",TEXTJOIN(""|"",TRUE,UNIQUE(FILTER('29_FUNCTION_STANDARD_MAP'!B$2:B$43,ISNUMBER(SEARCH(""|""&amp;E94&amp;""|"",""|""&amp;'29_FUNCTION_STANDARD_MAP'!E$2:E$43&amp;""|""))))))"),"WADIR2|BAG_UK")</f>
        <v>WADIR2|BAG_UK</v>
      </c>
      <c r="M94" s="7" t="s">
        <v>1376</v>
      </c>
      <c r="N94" s="7" t="s">
        <v>2435</v>
      </c>
      <c r="O94" s="7" t="s">
        <v>1465</v>
      </c>
      <c r="P94" s="7">
        <v>2.0</v>
      </c>
      <c r="Q94" s="7" t="b">
        <v>1</v>
      </c>
      <c r="R94" s="7" t="s">
        <v>3558</v>
      </c>
      <c r="S94" s="7" t="s">
        <v>329</v>
      </c>
      <c r="T94" s="7" t="s">
        <v>4093</v>
      </c>
    </row>
    <row r="95">
      <c r="A95" s="7" t="s">
        <v>2436</v>
      </c>
      <c r="B95" s="7" t="s">
        <v>2437</v>
      </c>
      <c r="C95" s="7" t="s">
        <v>2425</v>
      </c>
      <c r="D95" s="7" t="s">
        <v>2438</v>
      </c>
      <c r="E95" s="7" t="s">
        <v>3676</v>
      </c>
      <c r="F95" s="7" t="s">
        <v>3677</v>
      </c>
      <c r="G95" s="7" t="s">
        <v>4021</v>
      </c>
      <c r="H95" s="7" t="s">
        <v>3584</v>
      </c>
      <c r="I95" s="7" t="s">
        <v>4022</v>
      </c>
      <c r="J95" s="7" t="s">
        <v>1760</v>
      </c>
      <c r="K95" s="7" t="str">
        <f>IFERROR(__xludf.DUMMYFUNCTION("IF(E95="""","""",TEXTJOIN(""|"",TRUE,FILTER('29_FUNCTION_STANDARD_MAP'!A$2:A$43,ISNUMBER(SEARCH(""|""&amp;E95&amp;""|"",""|""&amp;'29_FUNCTION_STANDARD_MAP'!E$2:E$43&amp;""|"")))))"),"F-WD2-01|F-BUK-02")</f>
        <v>F-WD2-01|F-BUK-02</v>
      </c>
      <c r="L95" s="7" t="str">
        <f>IFERROR(__xludf.DUMMYFUNCTION("IF(E95="""","""",TEXTJOIN(""|"",TRUE,UNIQUE(FILTER('29_FUNCTION_STANDARD_MAP'!B$2:B$43,ISNUMBER(SEARCH(""|""&amp;E95&amp;""|"",""|""&amp;'29_FUNCTION_STANDARD_MAP'!E$2:E$43&amp;""|""))))))"),"WADIR2|BAG_UK")</f>
        <v>WADIR2|BAG_UK</v>
      </c>
      <c r="M95" s="7" t="s">
        <v>1376</v>
      </c>
      <c r="N95" s="7" t="s">
        <v>2439</v>
      </c>
      <c r="O95" s="7" t="s">
        <v>1465</v>
      </c>
      <c r="P95" s="7">
        <v>2.0</v>
      </c>
      <c r="Q95" s="7" t="b">
        <v>1</v>
      </c>
      <c r="R95" s="7" t="s">
        <v>3558</v>
      </c>
      <c r="S95" s="7" t="s">
        <v>329</v>
      </c>
      <c r="T95" s="7" t="s">
        <v>4093</v>
      </c>
    </row>
    <row r="96">
      <c r="A96" s="7" t="s">
        <v>2440</v>
      </c>
      <c r="B96" s="7" t="s">
        <v>2441</v>
      </c>
      <c r="C96" s="7" t="s">
        <v>2425</v>
      </c>
      <c r="D96" s="7" t="s">
        <v>2442</v>
      </c>
      <c r="E96" s="7" t="s">
        <v>3676</v>
      </c>
      <c r="F96" s="7" t="s">
        <v>3677</v>
      </c>
      <c r="G96" s="7" t="s">
        <v>4021</v>
      </c>
      <c r="H96" s="7" t="s">
        <v>3584</v>
      </c>
      <c r="I96" s="7" t="s">
        <v>4022</v>
      </c>
      <c r="J96" s="7" t="s">
        <v>2443</v>
      </c>
      <c r="K96" s="7" t="str">
        <f>IFERROR(__xludf.DUMMYFUNCTION("IF(E96="""","""",TEXTJOIN(""|"",TRUE,FILTER('29_FUNCTION_STANDARD_MAP'!A$2:A$43,ISNUMBER(SEARCH(""|""&amp;E96&amp;""|"",""|""&amp;'29_FUNCTION_STANDARD_MAP'!E$2:E$43&amp;""|"")))))"),"F-WD2-01|F-BUK-02")</f>
        <v>F-WD2-01|F-BUK-02</v>
      </c>
      <c r="L96" s="7" t="str">
        <f>IFERROR(__xludf.DUMMYFUNCTION("IF(E96="""","""",TEXTJOIN(""|"",TRUE,UNIQUE(FILTER('29_FUNCTION_STANDARD_MAP'!B$2:B$43,ISNUMBER(SEARCH(""|""&amp;E96&amp;""|"",""|""&amp;'29_FUNCTION_STANDARD_MAP'!E$2:E$43&amp;""|""))))))"),"WADIR2|BAG_UK")</f>
        <v>WADIR2|BAG_UK</v>
      </c>
      <c r="M96" s="7" t="s">
        <v>1376</v>
      </c>
      <c r="N96" s="7" t="s">
        <v>2444</v>
      </c>
      <c r="O96" s="7" t="s">
        <v>1465</v>
      </c>
      <c r="P96" s="7">
        <v>2.0</v>
      </c>
      <c r="Q96" s="7" t="b">
        <v>1</v>
      </c>
      <c r="R96" s="7" t="s">
        <v>3558</v>
      </c>
      <c r="S96" s="7" t="s">
        <v>329</v>
      </c>
      <c r="T96" s="7" t="s">
        <v>4093</v>
      </c>
    </row>
    <row r="97">
      <c r="A97" s="7" t="s">
        <v>2445</v>
      </c>
      <c r="B97" s="7" t="s">
        <v>2446</v>
      </c>
      <c r="C97" s="7" t="s">
        <v>2425</v>
      </c>
      <c r="D97" s="7" t="s">
        <v>2447</v>
      </c>
      <c r="E97" s="7" t="s">
        <v>3676</v>
      </c>
      <c r="F97" s="7" t="s">
        <v>3677</v>
      </c>
      <c r="G97" s="7" t="s">
        <v>4021</v>
      </c>
      <c r="H97" s="7" t="s">
        <v>3584</v>
      </c>
      <c r="I97" s="7" t="s">
        <v>4022</v>
      </c>
      <c r="J97" s="7">
        <v>7.2</v>
      </c>
      <c r="K97" s="7" t="str">
        <f>IFERROR(__xludf.DUMMYFUNCTION("IF(E97="""","""",TEXTJOIN(""|"",TRUE,FILTER('29_FUNCTION_STANDARD_MAP'!A$2:A$43,ISNUMBER(SEARCH(""|""&amp;E97&amp;""|"",""|""&amp;'29_FUNCTION_STANDARD_MAP'!E$2:E$43&amp;""|"")))))"),"F-WD2-01|F-BUK-02")</f>
        <v>F-WD2-01|F-BUK-02</v>
      </c>
      <c r="L97" s="7" t="str">
        <f>IFERROR(__xludf.DUMMYFUNCTION("IF(E97="""","""",TEXTJOIN(""|"",TRUE,UNIQUE(FILTER('29_FUNCTION_STANDARD_MAP'!B$2:B$43,ISNUMBER(SEARCH(""|""&amp;E97&amp;""|"",""|""&amp;'29_FUNCTION_STANDARD_MAP'!E$2:E$43&amp;""|""))))))"),"WADIR2|BAG_UK")</f>
        <v>WADIR2|BAG_UK</v>
      </c>
      <c r="M97" s="7" t="s">
        <v>1376</v>
      </c>
      <c r="N97" s="7" t="s">
        <v>2448</v>
      </c>
      <c r="O97" s="7" t="s">
        <v>1465</v>
      </c>
      <c r="P97" s="7">
        <v>2.0</v>
      </c>
      <c r="Q97" s="7" t="b">
        <v>1</v>
      </c>
      <c r="R97" s="7" t="s">
        <v>3558</v>
      </c>
      <c r="S97" s="7" t="s">
        <v>329</v>
      </c>
      <c r="T97" s="7" t="s">
        <v>4093</v>
      </c>
    </row>
    <row r="98">
      <c r="A98" s="7" t="s">
        <v>2449</v>
      </c>
      <c r="B98" s="7" t="s">
        <v>2450</v>
      </c>
      <c r="C98" s="7" t="s">
        <v>2425</v>
      </c>
      <c r="D98" s="7" t="s">
        <v>2451</v>
      </c>
      <c r="E98" s="7" t="s">
        <v>3676</v>
      </c>
      <c r="F98" s="7" t="s">
        <v>3677</v>
      </c>
      <c r="G98" s="7" t="s">
        <v>4021</v>
      </c>
      <c r="H98" s="7" t="s">
        <v>3584</v>
      </c>
      <c r="I98" s="7" t="s">
        <v>4022</v>
      </c>
      <c r="J98" s="7">
        <v>7.2</v>
      </c>
      <c r="K98" s="7" t="str">
        <f>IFERROR(__xludf.DUMMYFUNCTION("IF(E98="""","""",TEXTJOIN(""|"",TRUE,FILTER('29_FUNCTION_STANDARD_MAP'!A$2:A$43,ISNUMBER(SEARCH(""|""&amp;E98&amp;""|"",""|""&amp;'29_FUNCTION_STANDARD_MAP'!E$2:E$43&amp;""|"")))))"),"F-WD2-01|F-BUK-02")</f>
        <v>F-WD2-01|F-BUK-02</v>
      </c>
      <c r="L98" s="7" t="str">
        <f>IFERROR(__xludf.DUMMYFUNCTION("IF(E98="""","""",TEXTJOIN(""|"",TRUE,UNIQUE(FILTER('29_FUNCTION_STANDARD_MAP'!B$2:B$43,ISNUMBER(SEARCH(""|""&amp;E98&amp;""|"",""|""&amp;'29_FUNCTION_STANDARD_MAP'!E$2:E$43&amp;""|""))))))"),"WADIR2|BAG_UK")</f>
        <v>WADIR2|BAG_UK</v>
      </c>
      <c r="M98" s="7" t="s">
        <v>1376</v>
      </c>
      <c r="N98" s="7" t="s">
        <v>2452</v>
      </c>
      <c r="O98" s="7" t="s">
        <v>1465</v>
      </c>
      <c r="P98" s="7">
        <v>2.0</v>
      </c>
      <c r="Q98" s="7" t="b">
        <v>1</v>
      </c>
      <c r="R98" s="7" t="s">
        <v>3558</v>
      </c>
      <c r="S98" s="7" t="s">
        <v>329</v>
      </c>
      <c r="T98" s="7" t="s">
        <v>4093</v>
      </c>
    </row>
    <row r="99">
      <c r="A99" s="7" t="s">
        <v>2453</v>
      </c>
      <c r="B99" s="7" t="s">
        <v>2454</v>
      </c>
      <c r="C99" s="7" t="s">
        <v>2425</v>
      </c>
      <c r="D99" s="7" t="s">
        <v>2455</v>
      </c>
      <c r="E99" s="7" t="s">
        <v>3676</v>
      </c>
      <c r="F99" s="7" t="s">
        <v>3677</v>
      </c>
      <c r="G99" s="7" t="s">
        <v>4021</v>
      </c>
      <c r="H99" s="7" t="s">
        <v>3584</v>
      </c>
      <c r="I99" s="7" t="s">
        <v>4022</v>
      </c>
      <c r="J99" s="7" t="s">
        <v>1654</v>
      </c>
      <c r="K99" s="7" t="str">
        <f>IFERROR(__xludf.DUMMYFUNCTION("IF(E99="""","""",TEXTJOIN(""|"",TRUE,FILTER('29_FUNCTION_STANDARD_MAP'!A$2:A$43,ISNUMBER(SEARCH(""|""&amp;E99&amp;""|"",""|""&amp;'29_FUNCTION_STANDARD_MAP'!E$2:E$43&amp;""|"")))))"),"F-WD2-01|F-BUK-02")</f>
        <v>F-WD2-01|F-BUK-02</v>
      </c>
      <c r="L99" s="7" t="str">
        <f>IFERROR(__xludf.DUMMYFUNCTION("IF(E99="""","""",TEXTJOIN(""|"",TRUE,UNIQUE(FILTER('29_FUNCTION_STANDARD_MAP'!B$2:B$43,ISNUMBER(SEARCH(""|""&amp;E99&amp;""|"",""|""&amp;'29_FUNCTION_STANDARD_MAP'!E$2:E$43&amp;""|""))))))"),"WADIR2|BAG_UK")</f>
        <v>WADIR2|BAG_UK</v>
      </c>
      <c r="M99" s="7" t="s">
        <v>1376</v>
      </c>
      <c r="N99" s="7" t="s">
        <v>2456</v>
      </c>
      <c r="O99" s="7" t="s">
        <v>1465</v>
      </c>
      <c r="P99" s="7">
        <v>2.0</v>
      </c>
      <c r="Q99" s="7" t="b">
        <v>1</v>
      </c>
      <c r="R99" s="7" t="s">
        <v>3558</v>
      </c>
      <c r="S99" s="7" t="s">
        <v>329</v>
      </c>
      <c r="T99" s="7" t="s">
        <v>4093</v>
      </c>
    </row>
    <row r="100">
      <c r="A100" s="7" t="s">
        <v>2457</v>
      </c>
      <c r="B100" s="7" t="s">
        <v>2458</v>
      </c>
      <c r="C100" s="7" t="s">
        <v>2425</v>
      </c>
      <c r="D100" s="7" t="s">
        <v>2459</v>
      </c>
      <c r="E100" s="7" t="s">
        <v>3676</v>
      </c>
      <c r="F100" s="7" t="s">
        <v>3677</v>
      </c>
      <c r="G100" s="7" t="s">
        <v>4021</v>
      </c>
      <c r="H100" s="7" t="s">
        <v>3584</v>
      </c>
      <c r="I100" s="7" t="s">
        <v>4022</v>
      </c>
      <c r="J100" s="7" t="s">
        <v>2044</v>
      </c>
      <c r="K100" s="7" t="str">
        <f>IFERROR(__xludf.DUMMYFUNCTION("IF(E100="""","""",TEXTJOIN(""|"",TRUE,FILTER('29_FUNCTION_STANDARD_MAP'!A$2:A$43,ISNUMBER(SEARCH(""|""&amp;E100&amp;""|"",""|""&amp;'29_FUNCTION_STANDARD_MAP'!E$2:E$43&amp;""|"")))))"),"F-WD2-01|F-BUK-02")</f>
        <v>F-WD2-01|F-BUK-02</v>
      </c>
      <c r="L100" s="7" t="str">
        <f>IFERROR(__xludf.DUMMYFUNCTION("IF(E100="""","""",TEXTJOIN(""|"",TRUE,UNIQUE(FILTER('29_FUNCTION_STANDARD_MAP'!B$2:B$43,ISNUMBER(SEARCH(""|""&amp;E100&amp;""|"",""|""&amp;'29_FUNCTION_STANDARD_MAP'!E$2:E$43&amp;""|""))))))"),"WADIR2|BAG_UK")</f>
        <v>WADIR2|BAG_UK</v>
      </c>
      <c r="M100" s="7" t="s">
        <v>1376</v>
      </c>
      <c r="N100" s="7" t="s">
        <v>2460</v>
      </c>
      <c r="O100" s="7" t="s">
        <v>1465</v>
      </c>
      <c r="P100" s="7">
        <v>2.0</v>
      </c>
      <c r="Q100" s="7" t="b">
        <v>1</v>
      </c>
      <c r="R100" s="7" t="s">
        <v>3558</v>
      </c>
      <c r="S100" s="7" t="s">
        <v>329</v>
      </c>
      <c r="T100" s="7" t="s">
        <v>4093</v>
      </c>
    </row>
    <row r="101">
      <c r="A101" s="7" t="s">
        <v>2461</v>
      </c>
      <c r="B101" s="7" t="s">
        <v>2462</v>
      </c>
      <c r="C101" s="7" t="s">
        <v>2425</v>
      </c>
      <c r="D101" s="7" t="s">
        <v>2463</v>
      </c>
      <c r="E101" s="7" t="s">
        <v>3676</v>
      </c>
      <c r="F101" s="7" t="s">
        <v>3677</v>
      </c>
      <c r="G101" s="7" t="s">
        <v>4021</v>
      </c>
      <c r="H101" s="7" t="s">
        <v>3584</v>
      </c>
      <c r="I101" s="7" t="s">
        <v>4022</v>
      </c>
      <c r="J101" s="7" t="s">
        <v>2464</v>
      </c>
      <c r="K101" s="7" t="str">
        <f>IFERROR(__xludf.DUMMYFUNCTION("IF(E101="""","""",TEXTJOIN(""|"",TRUE,FILTER('29_FUNCTION_STANDARD_MAP'!A$2:A$43,ISNUMBER(SEARCH(""|""&amp;E101&amp;""|"",""|""&amp;'29_FUNCTION_STANDARD_MAP'!E$2:E$43&amp;""|"")))))"),"F-WD2-01|F-BUK-02")</f>
        <v>F-WD2-01|F-BUK-02</v>
      </c>
      <c r="L101" s="7" t="str">
        <f>IFERROR(__xludf.DUMMYFUNCTION("IF(E101="""","""",TEXTJOIN(""|"",TRUE,UNIQUE(FILTER('29_FUNCTION_STANDARD_MAP'!B$2:B$43,ISNUMBER(SEARCH(""|""&amp;E101&amp;""|"",""|""&amp;'29_FUNCTION_STANDARD_MAP'!E$2:E$43&amp;""|""))))))"),"WADIR2|BAG_UK")</f>
        <v>WADIR2|BAG_UK</v>
      </c>
      <c r="M101" s="7" t="s">
        <v>1376</v>
      </c>
      <c r="N101" s="7" t="s">
        <v>2465</v>
      </c>
      <c r="O101" s="7" t="s">
        <v>1465</v>
      </c>
      <c r="P101" s="7">
        <v>2.0</v>
      </c>
      <c r="Q101" s="7" t="b">
        <v>1</v>
      </c>
      <c r="R101" s="7" t="s">
        <v>3558</v>
      </c>
      <c r="S101" s="7" t="s">
        <v>329</v>
      </c>
      <c r="T101" s="7" t="s">
        <v>4093</v>
      </c>
    </row>
    <row r="102">
      <c r="A102" s="7" t="s">
        <v>2466</v>
      </c>
      <c r="B102" s="7" t="s">
        <v>2467</v>
      </c>
      <c r="C102" s="7" t="s">
        <v>2468</v>
      </c>
      <c r="D102" s="7" t="s">
        <v>2469</v>
      </c>
      <c r="E102" s="7" t="s">
        <v>3688</v>
      </c>
      <c r="F102" s="7" t="s">
        <v>3689</v>
      </c>
      <c r="G102" s="7" t="s">
        <v>4026</v>
      </c>
      <c r="H102" s="7" t="s">
        <v>3690</v>
      </c>
      <c r="I102" s="7" t="s">
        <v>4027</v>
      </c>
      <c r="J102" s="7" t="s">
        <v>2470</v>
      </c>
      <c r="K102" s="7" t="str">
        <f>IFERROR(__xludf.DUMMYFUNCTION("IF(E102="""","""",TEXTJOIN(""|"",TRUE,FILTER('29_FUNCTION_STANDARD_MAP'!A$2:A$43,ISNUMBER(SEARCH(""|""&amp;E102&amp;""|"",""|""&amp;'29_FUNCTION_STANDARD_MAP'!E$2:E$43&amp;""|"")))))"),"F-WD2-01|F-BUK-03")</f>
        <v>F-WD2-01|F-BUK-03</v>
      </c>
      <c r="L102" s="7" t="str">
        <f>IFERROR(__xludf.DUMMYFUNCTION("IF(E102="""","""",TEXTJOIN(""|"",TRUE,UNIQUE(FILTER('29_FUNCTION_STANDARD_MAP'!B$2:B$43,ISNUMBER(SEARCH(""|""&amp;E102&amp;""|"",""|""&amp;'29_FUNCTION_STANDARD_MAP'!E$2:E$43&amp;""|""))))))"),"WADIR2|BAG_UK")</f>
        <v>WADIR2|BAG_UK</v>
      </c>
      <c r="M102" s="7" t="s">
        <v>1376</v>
      </c>
      <c r="N102" s="7" t="s">
        <v>2471</v>
      </c>
      <c r="O102" s="7" t="s">
        <v>1465</v>
      </c>
      <c r="P102" s="7">
        <v>2.0</v>
      </c>
      <c r="Q102" s="7" t="b">
        <v>1</v>
      </c>
      <c r="R102" s="7" t="s">
        <v>3558</v>
      </c>
      <c r="S102" s="7" t="s">
        <v>329</v>
      </c>
      <c r="T102" s="7" t="s">
        <v>4093</v>
      </c>
    </row>
    <row r="103">
      <c r="A103" s="7" t="s">
        <v>2472</v>
      </c>
      <c r="B103" s="7" t="s">
        <v>2473</v>
      </c>
      <c r="C103" s="7" t="s">
        <v>2468</v>
      </c>
      <c r="D103" s="7" t="s">
        <v>2474</v>
      </c>
      <c r="E103" s="7" t="s">
        <v>3688</v>
      </c>
      <c r="F103" s="7" t="s">
        <v>3689</v>
      </c>
      <c r="G103" s="7" t="s">
        <v>4026</v>
      </c>
      <c r="H103" s="7" t="s">
        <v>3690</v>
      </c>
      <c r="I103" s="7" t="s">
        <v>4027</v>
      </c>
      <c r="J103" s="7" t="s">
        <v>1701</v>
      </c>
      <c r="K103" s="7" t="str">
        <f>IFERROR(__xludf.DUMMYFUNCTION("IF(E103="""","""",TEXTJOIN(""|"",TRUE,FILTER('29_FUNCTION_STANDARD_MAP'!A$2:A$43,ISNUMBER(SEARCH(""|""&amp;E103&amp;""|"",""|""&amp;'29_FUNCTION_STANDARD_MAP'!E$2:E$43&amp;""|"")))))"),"F-WD2-01|F-BUK-03")</f>
        <v>F-WD2-01|F-BUK-03</v>
      </c>
      <c r="L103" s="7" t="str">
        <f>IFERROR(__xludf.DUMMYFUNCTION("IF(E103="""","""",TEXTJOIN(""|"",TRUE,UNIQUE(FILTER('29_FUNCTION_STANDARD_MAP'!B$2:B$43,ISNUMBER(SEARCH(""|""&amp;E103&amp;""|"",""|""&amp;'29_FUNCTION_STANDARD_MAP'!E$2:E$43&amp;""|""))))))"),"WADIR2|BAG_UK")</f>
        <v>WADIR2|BAG_UK</v>
      </c>
      <c r="M103" s="7" t="s">
        <v>1376</v>
      </c>
      <c r="N103" s="7" t="s">
        <v>2475</v>
      </c>
      <c r="O103" s="7" t="s">
        <v>1465</v>
      </c>
      <c r="P103" s="7">
        <v>2.0</v>
      </c>
      <c r="Q103" s="7" t="b">
        <v>1</v>
      </c>
      <c r="R103" s="7" t="s">
        <v>3558</v>
      </c>
      <c r="S103" s="7" t="s">
        <v>329</v>
      </c>
      <c r="T103" s="7" t="s">
        <v>4093</v>
      </c>
    </row>
    <row r="104">
      <c r="A104" s="7" t="s">
        <v>2476</v>
      </c>
      <c r="B104" s="7" t="s">
        <v>2477</v>
      </c>
      <c r="C104" s="7" t="s">
        <v>2468</v>
      </c>
      <c r="D104" s="7" t="s">
        <v>2478</v>
      </c>
      <c r="E104" s="7" t="s">
        <v>3688</v>
      </c>
      <c r="F104" s="7" t="s">
        <v>3689</v>
      </c>
      <c r="G104" s="7" t="s">
        <v>4026</v>
      </c>
      <c r="H104" s="7" t="s">
        <v>3690</v>
      </c>
      <c r="I104" s="7" t="s">
        <v>4027</v>
      </c>
      <c r="J104" s="7">
        <v>8.6</v>
      </c>
      <c r="K104" s="7" t="str">
        <f>IFERROR(__xludf.DUMMYFUNCTION("IF(E104="""","""",TEXTJOIN(""|"",TRUE,FILTER('29_FUNCTION_STANDARD_MAP'!A$2:A$43,ISNUMBER(SEARCH(""|""&amp;E104&amp;""|"",""|""&amp;'29_FUNCTION_STANDARD_MAP'!E$2:E$43&amp;""|"")))))"),"F-WD2-01|F-BUK-03")</f>
        <v>F-WD2-01|F-BUK-03</v>
      </c>
      <c r="L104" s="7" t="str">
        <f>IFERROR(__xludf.DUMMYFUNCTION("IF(E104="""","""",TEXTJOIN(""|"",TRUE,UNIQUE(FILTER('29_FUNCTION_STANDARD_MAP'!B$2:B$43,ISNUMBER(SEARCH(""|""&amp;E104&amp;""|"",""|""&amp;'29_FUNCTION_STANDARD_MAP'!E$2:E$43&amp;""|""))))))"),"WADIR2|BAG_UK")</f>
        <v>WADIR2|BAG_UK</v>
      </c>
      <c r="M104" s="7" t="s">
        <v>1376</v>
      </c>
      <c r="N104" s="7" t="s">
        <v>2479</v>
      </c>
      <c r="O104" s="7" t="s">
        <v>1465</v>
      </c>
      <c r="P104" s="7">
        <v>2.0</v>
      </c>
      <c r="Q104" s="7" t="b">
        <v>1</v>
      </c>
      <c r="R104" s="7" t="s">
        <v>3558</v>
      </c>
      <c r="S104" s="7" t="s">
        <v>329</v>
      </c>
      <c r="T104" s="7" t="s">
        <v>4093</v>
      </c>
    </row>
    <row r="105">
      <c r="A105" s="7" t="s">
        <v>2480</v>
      </c>
      <c r="B105" s="7" t="s">
        <v>2481</v>
      </c>
      <c r="C105" s="7" t="s">
        <v>2468</v>
      </c>
      <c r="D105" s="7" t="s">
        <v>2482</v>
      </c>
      <c r="E105" s="7" t="s">
        <v>3688</v>
      </c>
      <c r="F105" s="7" t="s">
        <v>3689</v>
      </c>
      <c r="G105" s="7" t="s">
        <v>4026</v>
      </c>
      <c r="H105" s="7" t="s">
        <v>3690</v>
      </c>
      <c r="I105" s="7" t="s">
        <v>4027</v>
      </c>
      <c r="J105" s="7">
        <v>8.6</v>
      </c>
      <c r="K105" s="7" t="str">
        <f>IFERROR(__xludf.DUMMYFUNCTION("IF(E105="""","""",TEXTJOIN(""|"",TRUE,FILTER('29_FUNCTION_STANDARD_MAP'!A$2:A$43,ISNUMBER(SEARCH(""|""&amp;E105&amp;""|"",""|""&amp;'29_FUNCTION_STANDARD_MAP'!E$2:E$43&amp;""|"")))))"),"F-WD2-01|F-BUK-03")</f>
        <v>F-WD2-01|F-BUK-03</v>
      </c>
      <c r="L105" s="7" t="str">
        <f>IFERROR(__xludf.DUMMYFUNCTION("IF(E105="""","""",TEXTJOIN(""|"",TRUE,UNIQUE(FILTER('29_FUNCTION_STANDARD_MAP'!B$2:B$43,ISNUMBER(SEARCH(""|""&amp;E105&amp;""|"",""|""&amp;'29_FUNCTION_STANDARD_MAP'!E$2:E$43&amp;""|""))))))"),"WADIR2|BAG_UK")</f>
        <v>WADIR2|BAG_UK</v>
      </c>
      <c r="M105" s="7" t="s">
        <v>1376</v>
      </c>
      <c r="N105" s="7" t="s">
        <v>2483</v>
      </c>
      <c r="O105" s="7" t="s">
        <v>1465</v>
      </c>
      <c r="P105" s="7">
        <v>2.0</v>
      </c>
      <c r="Q105" s="7" t="b">
        <v>1</v>
      </c>
      <c r="R105" s="7" t="s">
        <v>3558</v>
      </c>
      <c r="S105" s="7" t="s">
        <v>329</v>
      </c>
      <c r="T105" s="7" t="s">
        <v>4093</v>
      </c>
    </row>
    <row r="106">
      <c r="A106" s="7" t="s">
        <v>2484</v>
      </c>
      <c r="B106" s="7" t="s">
        <v>2485</v>
      </c>
      <c r="C106" s="7" t="s">
        <v>2468</v>
      </c>
      <c r="D106" s="7" t="s">
        <v>2486</v>
      </c>
      <c r="E106" s="7" t="s">
        <v>3688</v>
      </c>
      <c r="F106" s="7" t="s">
        <v>3689</v>
      </c>
      <c r="G106" s="7" t="s">
        <v>4026</v>
      </c>
      <c r="H106" s="7" t="s">
        <v>3690</v>
      </c>
      <c r="I106" s="7" t="s">
        <v>4027</v>
      </c>
      <c r="J106" s="7" t="s">
        <v>1701</v>
      </c>
      <c r="K106" s="7" t="str">
        <f>IFERROR(__xludf.DUMMYFUNCTION("IF(E106="""","""",TEXTJOIN(""|"",TRUE,FILTER('29_FUNCTION_STANDARD_MAP'!A$2:A$43,ISNUMBER(SEARCH(""|""&amp;E106&amp;""|"",""|""&amp;'29_FUNCTION_STANDARD_MAP'!E$2:E$43&amp;""|"")))))"),"F-WD2-01|F-BUK-03")</f>
        <v>F-WD2-01|F-BUK-03</v>
      </c>
      <c r="L106" s="7" t="str">
        <f>IFERROR(__xludf.DUMMYFUNCTION("IF(E106="""","""",TEXTJOIN(""|"",TRUE,UNIQUE(FILTER('29_FUNCTION_STANDARD_MAP'!B$2:B$43,ISNUMBER(SEARCH(""|""&amp;E106&amp;""|"",""|""&amp;'29_FUNCTION_STANDARD_MAP'!E$2:E$43&amp;""|""))))))"),"WADIR2|BAG_UK")</f>
        <v>WADIR2|BAG_UK</v>
      </c>
      <c r="M106" s="7" t="s">
        <v>1376</v>
      </c>
      <c r="N106" s="7" t="s">
        <v>2487</v>
      </c>
      <c r="O106" s="7" t="s">
        <v>1465</v>
      </c>
      <c r="P106" s="7">
        <v>2.0</v>
      </c>
      <c r="Q106" s="7" t="b">
        <v>1</v>
      </c>
      <c r="R106" s="7" t="s">
        <v>3558</v>
      </c>
      <c r="S106" s="7" t="s">
        <v>329</v>
      </c>
      <c r="T106" s="7" t="s">
        <v>4093</v>
      </c>
    </row>
    <row r="107">
      <c r="A107" s="7" t="s">
        <v>2488</v>
      </c>
      <c r="B107" s="7" t="s">
        <v>2489</v>
      </c>
      <c r="C107" s="7" t="s">
        <v>2468</v>
      </c>
      <c r="D107" s="7" t="s">
        <v>2490</v>
      </c>
      <c r="E107" s="7" t="s">
        <v>3688</v>
      </c>
      <c r="F107" s="7" t="s">
        <v>3689</v>
      </c>
      <c r="G107" s="7" t="s">
        <v>4026</v>
      </c>
      <c r="H107" s="7" t="s">
        <v>3690</v>
      </c>
      <c r="I107" s="7" t="s">
        <v>4027</v>
      </c>
      <c r="J107" s="7" t="s">
        <v>2491</v>
      </c>
      <c r="K107" s="7" t="str">
        <f>IFERROR(__xludf.DUMMYFUNCTION("IF(E107="""","""",TEXTJOIN(""|"",TRUE,FILTER('29_FUNCTION_STANDARD_MAP'!A$2:A$43,ISNUMBER(SEARCH(""|""&amp;E107&amp;""|"",""|""&amp;'29_FUNCTION_STANDARD_MAP'!E$2:E$43&amp;""|"")))))"),"F-WD2-01|F-BUK-03")</f>
        <v>F-WD2-01|F-BUK-03</v>
      </c>
      <c r="L107" s="7" t="str">
        <f>IFERROR(__xludf.DUMMYFUNCTION("IF(E107="""","""",TEXTJOIN(""|"",TRUE,UNIQUE(FILTER('29_FUNCTION_STANDARD_MAP'!B$2:B$43,ISNUMBER(SEARCH(""|""&amp;E107&amp;""|"",""|""&amp;'29_FUNCTION_STANDARD_MAP'!E$2:E$43&amp;""|""))))))"),"WADIR2|BAG_UK")</f>
        <v>WADIR2|BAG_UK</v>
      </c>
      <c r="M107" s="7" t="s">
        <v>1376</v>
      </c>
      <c r="N107" s="7" t="s">
        <v>2492</v>
      </c>
      <c r="O107" s="7" t="s">
        <v>1465</v>
      </c>
      <c r="P107" s="7">
        <v>2.0</v>
      </c>
      <c r="Q107" s="7" t="b">
        <v>1</v>
      </c>
      <c r="R107" s="7" t="s">
        <v>3558</v>
      </c>
      <c r="S107" s="7" t="s">
        <v>329</v>
      </c>
      <c r="T107" s="7" t="s">
        <v>4093</v>
      </c>
    </row>
    <row r="108">
      <c r="A108" s="7" t="s">
        <v>2493</v>
      </c>
      <c r="B108" s="7" t="s">
        <v>2494</v>
      </c>
      <c r="C108" s="7" t="s">
        <v>2468</v>
      </c>
      <c r="D108" s="7" t="s">
        <v>2495</v>
      </c>
      <c r="E108" s="7" t="s">
        <v>3688</v>
      </c>
      <c r="F108" s="7" t="s">
        <v>3689</v>
      </c>
      <c r="G108" s="7" t="s">
        <v>4026</v>
      </c>
      <c r="H108" s="7" t="s">
        <v>3690</v>
      </c>
      <c r="I108" s="7" t="s">
        <v>4027</v>
      </c>
      <c r="J108" s="7">
        <v>4.4</v>
      </c>
      <c r="K108" s="7" t="str">
        <f>IFERROR(__xludf.DUMMYFUNCTION("IF(E108="""","""",TEXTJOIN(""|"",TRUE,FILTER('29_FUNCTION_STANDARD_MAP'!A$2:A$43,ISNUMBER(SEARCH(""|""&amp;E108&amp;""|"",""|""&amp;'29_FUNCTION_STANDARD_MAP'!E$2:E$43&amp;""|"")))))"),"F-WD2-01|F-BUK-03")</f>
        <v>F-WD2-01|F-BUK-03</v>
      </c>
      <c r="L108" s="7" t="str">
        <f>IFERROR(__xludf.DUMMYFUNCTION("IF(E108="""","""",TEXTJOIN(""|"",TRUE,UNIQUE(FILTER('29_FUNCTION_STANDARD_MAP'!B$2:B$43,ISNUMBER(SEARCH(""|""&amp;E108&amp;""|"",""|""&amp;'29_FUNCTION_STANDARD_MAP'!E$2:E$43&amp;""|""))))))"),"WADIR2|BAG_UK")</f>
        <v>WADIR2|BAG_UK</v>
      </c>
      <c r="M108" s="7" t="s">
        <v>1376</v>
      </c>
      <c r="N108" s="7" t="s">
        <v>2496</v>
      </c>
      <c r="O108" s="7" t="s">
        <v>1465</v>
      </c>
      <c r="P108" s="7">
        <v>2.0</v>
      </c>
      <c r="Q108" s="7" t="b">
        <v>1</v>
      </c>
      <c r="R108" s="7" t="s">
        <v>3558</v>
      </c>
      <c r="S108" s="7" t="s">
        <v>329</v>
      </c>
      <c r="T108" s="7" t="s">
        <v>4093</v>
      </c>
    </row>
    <row r="109">
      <c r="A109" s="7" t="s">
        <v>2497</v>
      </c>
      <c r="B109" s="7" t="s">
        <v>2498</v>
      </c>
      <c r="C109" s="7" t="s">
        <v>2468</v>
      </c>
      <c r="D109" s="7" t="s">
        <v>2499</v>
      </c>
      <c r="E109" s="7" t="s">
        <v>3688</v>
      </c>
      <c r="F109" s="7" t="s">
        <v>3689</v>
      </c>
      <c r="G109" s="7" t="s">
        <v>4026</v>
      </c>
      <c r="H109" s="7" t="s">
        <v>3690</v>
      </c>
      <c r="I109" s="7" t="s">
        <v>4027</v>
      </c>
      <c r="J109" s="7" t="s">
        <v>2500</v>
      </c>
      <c r="K109" s="7" t="str">
        <f>IFERROR(__xludf.DUMMYFUNCTION("IF(E109="""","""",TEXTJOIN(""|"",TRUE,FILTER('29_FUNCTION_STANDARD_MAP'!A$2:A$43,ISNUMBER(SEARCH(""|""&amp;E109&amp;""|"",""|""&amp;'29_FUNCTION_STANDARD_MAP'!E$2:E$43&amp;""|"")))))"),"F-WD2-01|F-BUK-03")</f>
        <v>F-WD2-01|F-BUK-03</v>
      </c>
      <c r="L109" s="7" t="str">
        <f>IFERROR(__xludf.DUMMYFUNCTION("IF(E109="""","""",TEXTJOIN(""|"",TRUE,UNIQUE(FILTER('29_FUNCTION_STANDARD_MAP'!B$2:B$43,ISNUMBER(SEARCH(""|""&amp;E109&amp;""|"",""|""&amp;'29_FUNCTION_STANDARD_MAP'!E$2:E$43&amp;""|""))))))"),"WADIR2|BAG_UK")</f>
        <v>WADIR2|BAG_UK</v>
      </c>
      <c r="M109" s="7" t="s">
        <v>1376</v>
      </c>
      <c r="N109" s="7" t="s">
        <v>2501</v>
      </c>
      <c r="O109" s="7" t="s">
        <v>1465</v>
      </c>
      <c r="P109" s="7">
        <v>2.0</v>
      </c>
      <c r="Q109" s="7" t="b">
        <v>1</v>
      </c>
      <c r="R109" s="7" t="s">
        <v>3558</v>
      </c>
      <c r="S109" s="7" t="s">
        <v>329</v>
      </c>
      <c r="T109" s="7" t="s">
        <v>4093</v>
      </c>
    </row>
    <row r="110">
      <c r="A110" s="7" t="s">
        <v>2502</v>
      </c>
      <c r="B110" s="7" t="s">
        <v>2503</v>
      </c>
      <c r="C110" s="7" t="s">
        <v>2468</v>
      </c>
      <c r="D110" s="7" t="s">
        <v>2504</v>
      </c>
      <c r="E110" s="7" t="s">
        <v>3688</v>
      </c>
      <c r="F110" s="7" t="s">
        <v>3689</v>
      </c>
      <c r="G110" s="7" t="s">
        <v>4026</v>
      </c>
      <c r="H110" s="7" t="s">
        <v>3690</v>
      </c>
      <c r="I110" s="7" t="s">
        <v>4027</v>
      </c>
      <c r="J110" s="7" t="s">
        <v>2505</v>
      </c>
      <c r="K110" s="7" t="str">
        <f>IFERROR(__xludf.DUMMYFUNCTION("IF(E110="""","""",TEXTJOIN(""|"",TRUE,FILTER('29_FUNCTION_STANDARD_MAP'!A$2:A$43,ISNUMBER(SEARCH(""|""&amp;E110&amp;""|"",""|""&amp;'29_FUNCTION_STANDARD_MAP'!E$2:E$43&amp;""|"")))))"),"F-WD2-01|F-BUK-03")</f>
        <v>F-WD2-01|F-BUK-03</v>
      </c>
      <c r="L110" s="7" t="str">
        <f>IFERROR(__xludf.DUMMYFUNCTION("IF(E110="""","""",TEXTJOIN(""|"",TRUE,UNIQUE(FILTER('29_FUNCTION_STANDARD_MAP'!B$2:B$43,ISNUMBER(SEARCH(""|""&amp;E110&amp;""|"",""|""&amp;'29_FUNCTION_STANDARD_MAP'!E$2:E$43&amp;""|""))))))"),"WADIR2|BAG_UK")</f>
        <v>WADIR2|BAG_UK</v>
      </c>
      <c r="M110" s="7" t="s">
        <v>1376</v>
      </c>
      <c r="N110" s="7" t="s">
        <v>2506</v>
      </c>
      <c r="O110" s="7" t="s">
        <v>1465</v>
      </c>
      <c r="P110" s="7">
        <v>2.0</v>
      </c>
      <c r="Q110" s="7" t="b">
        <v>1</v>
      </c>
      <c r="R110" s="7" t="s">
        <v>3558</v>
      </c>
      <c r="S110" s="7" t="s">
        <v>329</v>
      </c>
      <c r="T110" s="7" t="s">
        <v>4093</v>
      </c>
    </row>
    <row r="111">
      <c r="A111" s="7" t="s">
        <v>2507</v>
      </c>
      <c r="B111" s="7" t="s">
        <v>2508</v>
      </c>
      <c r="C111" s="7" t="s">
        <v>2468</v>
      </c>
      <c r="D111" s="7" t="s">
        <v>2509</v>
      </c>
      <c r="E111" s="7" t="s">
        <v>3688</v>
      </c>
      <c r="F111" s="7" t="s">
        <v>3689</v>
      </c>
      <c r="G111" s="7" t="s">
        <v>4026</v>
      </c>
      <c r="H111" s="7" t="s">
        <v>3690</v>
      </c>
      <c r="I111" s="7" t="s">
        <v>4027</v>
      </c>
      <c r="J111" s="7" t="s">
        <v>2510</v>
      </c>
      <c r="K111" s="7" t="str">
        <f>IFERROR(__xludf.DUMMYFUNCTION("IF(E111="""","""",TEXTJOIN(""|"",TRUE,FILTER('29_FUNCTION_STANDARD_MAP'!A$2:A$43,ISNUMBER(SEARCH(""|""&amp;E111&amp;""|"",""|""&amp;'29_FUNCTION_STANDARD_MAP'!E$2:E$43&amp;""|"")))))"),"F-WD2-01|F-BUK-03")</f>
        <v>F-WD2-01|F-BUK-03</v>
      </c>
      <c r="L111" s="7" t="str">
        <f>IFERROR(__xludf.DUMMYFUNCTION("IF(E111="""","""",TEXTJOIN(""|"",TRUE,UNIQUE(FILTER('29_FUNCTION_STANDARD_MAP'!B$2:B$43,ISNUMBER(SEARCH(""|""&amp;E111&amp;""|"",""|""&amp;'29_FUNCTION_STANDARD_MAP'!E$2:E$43&amp;""|""))))))"),"WADIR2|BAG_UK")</f>
        <v>WADIR2|BAG_UK</v>
      </c>
      <c r="M111" s="7" t="s">
        <v>1376</v>
      </c>
      <c r="N111" s="7" t="s">
        <v>2511</v>
      </c>
      <c r="O111" s="7" t="s">
        <v>1465</v>
      </c>
      <c r="P111" s="7">
        <v>2.0</v>
      </c>
      <c r="Q111" s="7" t="b">
        <v>1</v>
      </c>
      <c r="R111" s="7" t="s">
        <v>3558</v>
      </c>
      <c r="S111" s="7" t="s">
        <v>329</v>
      </c>
      <c r="T111" s="7" t="s">
        <v>4093</v>
      </c>
    </row>
    <row r="112">
      <c r="A112" s="7" t="s">
        <v>2512</v>
      </c>
      <c r="B112" s="7" t="s">
        <v>2513</v>
      </c>
      <c r="C112" s="7" t="s">
        <v>2514</v>
      </c>
      <c r="D112" s="7" t="s">
        <v>2515</v>
      </c>
      <c r="E112" s="7" t="s">
        <v>3701</v>
      </c>
      <c r="F112" s="7" t="s">
        <v>3702</v>
      </c>
      <c r="G112" s="7" t="s">
        <v>4030</v>
      </c>
      <c r="H112" s="7" t="s">
        <v>3703</v>
      </c>
      <c r="I112" s="7" t="s">
        <v>4031</v>
      </c>
      <c r="J112" s="7" t="s">
        <v>2174</v>
      </c>
      <c r="K112" s="7" t="str">
        <f>IFERROR(__xludf.DUMMYFUNCTION("IF(E112="""","""",TEXTJOIN(""|"",TRUE,FILTER('29_FUNCTION_STANDARD_MAP'!A$2:A$43,ISNUMBER(SEARCH(""|""&amp;E112&amp;""|"",""|""&amp;'29_FUNCTION_STANDARD_MAP'!E$2:E$43&amp;""|"")))))"),"F-WD2-01|F-BUK-04")</f>
        <v>F-WD2-01|F-BUK-04</v>
      </c>
      <c r="L112" s="7" t="str">
        <f>IFERROR(__xludf.DUMMYFUNCTION("IF(E112="""","""",TEXTJOIN(""|"",TRUE,UNIQUE(FILTER('29_FUNCTION_STANDARD_MAP'!B$2:B$43,ISNUMBER(SEARCH(""|""&amp;E112&amp;""|"",""|""&amp;'29_FUNCTION_STANDARD_MAP'!E$2:E$43&amp;""|""))))))"),"WADIR2|BAG_UK")</f>
        <v>WADIR2|BAG_UK</v>
      </c>
      <c r="M112" s="7" t="s">
        <v>1376</v>
      </c>
      <c r="N112" s="7" t="s">
        <v>2516</v>
      </c>
      <c r="O112" s="7" t="s">
        <v>1465</v>
      </c>
      <c r="P112" s="7">
        <v>2.0</v>
      </c>
      <c r="Q112" s="7" t="b">
        <v>1</v>
      </c>
      <c r="R112" s="7" t="s">
        <v>3558</v>
      </c>
      <c r="S112" s="7" t="s">
        <v>329</v>
      </c>
      <c r="T112" s="7" t="s">
        <v>4093</v>
      </c>
    </row>
    <row r="113">
      <c r="A113" s="7" t="s">
        <v>2517</v>
      </c>
      <c r="B113" s="7" t="s">
        <v>2518</v>
      </c>
      <c r="C113" s="7" t="s">
        <v>2514</v>
      </c>
      <c r="D113" s="7" t="s">
        <v>2519</v>
      </c>
      <c r="E113" s="7" t="s">
        <v>3701</v>
      </c>
      <c r="F113" s="7" t="s">
        <v>3702</v>
      </c>
      <c r="G113" s="7" t="s">
        <v>4030</v>
      </c>
      <c r="H113" s="7" t="s">
        <v>3703</v>
      </c>
      <c r="I113" s="7" t="s">
        <v>4031</v>
      </c>
      <c r="J113" s="7" t="s">
        <v>1659</v>
      </c>
      <c r="K113" s="7" t="str">
        <f>IFERROR(__xludf.DUMMYFUNCTION("IF(E113="""","""",TEXTJOIN(""|"",TRUE,FILTER('29_FUNCTION_STANDARD_MAP'!A$2:A$43,ISNUMBER(SEARCH(""|""&amp;E113&amp;""|"",""|""&amp;'29_FUNCTION_STANDARD_MAP'!E$2:E$43&amp;""|"")))))"),"F-WD2-01|F-BUK-04")</f>
        <v>F-WD2-01|F-BUK-04</v>
      </c>
      <c r="L113" s="7" t="str">
        <f>IFERROR(__xludf.DUMMYFUNCTION("IF(E113="""","""",TEXTJOIN(""|"",TRUE,UNIQUE(FILTER('29_FUNCTION_STANDARD_MAP'!B$2:B$43,ISNUMBER(SEARCH(""|""&amp;E113&amp;""|"",""|""&amp;'29_FUNCTION_STANDARD_MAP'!E$2:E$43&amp;""|""))))))"),"WADIR2|BAG_UK")</f>
        <v>WADIR2|BAG_UK</v>
      </c>
      <c r="M113" s="7" t="s">
        <v>1376</v>
      </c>
      <c r="N113" s="7" t="s">
        <v>2520</v>
      </c>
      <c r="O113" s="7" t="s">
        <v>1465</v>
      </c>
      <c r="P113" s="7">
        <v>2.0</v>
      </c>
      <c r="Q113" s="7" t="b">
        <v>1</v>
      </c>
      <c r="R113" s="7" t="s">
        <v>3558</v>
      </c>
      <c r="S113" s="7" t="s">
        <v>329</v>
      </c>
      <c r="T113" s="7" t="s">
        <v>4093</v>
      </c>
    </row>
    <row r="114">
      <c r="A114" s="7" t="s">
        <v>2521</v>
      </c>
      <c r="B114" s="7" t="s">
        <v>2522</v>
      </c>
      <c r="C114" s="7" t="s">
        <v>2514</v>
      </c>
      <c r="D114" s="7" t="s">
        <v>2523</v>
      </c>
      <c r="E114" s="7" t="s">
        <v>3701</v>
      </c>
      <c r="F114" s="7" t="s">
        <v>3702</v>
      </c>
      <c r="G114" s="7" t="s">
        <v>4030</v>
      </c>
      <c r="H114" s="7" t="s">
        <v>3703</v>
      </c>
      <c r="I114" s="7" t="s">
        <v>4031</v>
      </c>
      <c r="J114" s="7" t="s">
        <v>1760</v>
      </c>
      <c r="K114" s="7" t="str">
        <f>IFERROR(__xludf.DUMMYFUNCTION("IF(E114="""","""",TEXTJOIN(""|"",TRUE,FILTER('29_FUNCTION_STANDARD_MAP'!A$2:A$43,ISNUMBER(SEARCH(""|""&amp;E114&amp;""|"",""|""&amp;'29_FUNCTION_STANDARD_MAP'!E$2:E$43&amp;""|"")))))"),"F-WD2-01|F-BUK-04")</f>
        <v>F-WD2-01|F-BUK-04</v>
      </c>
      <c r="L114" s="7" t="str">
        <f>IFERROR(__xludf.DUMMYFUNCTION("IF(E114="""","""",TEXTJOIN(""|"",TRUE,UNIQUE(FILTER('29_FUNCTION_STANDARD_MAP'!B$2:B$43,ISNUMBER(SEARCH(""|""&amp;E114&amp;""|"",""|""&amp;'29_FUNCTION_STANDARD_MAP'!E$2:E$43&amp;""|""))))))"),"WADIR2|BAG_UK")</f>
        <v>WADIR2|BAG_UK</v>
      </c>
      <c r="M114" s="7" t="s">
        <v>1376</v>
      </c>
      <c r="N114" s="7" t="s">
        <v>2524</v>
      </c>
      <c r="O114" s="7" t="s">
        <v>1465</v>
      </c>
      <c r="P114" s="7">
        <v>2.0</v>
      </c>
      <c r="Q114" s="7" t="b">
        <v>1</v>
      </c>
      <c r="R114" s="7" t="s">
        <v>3558</v>
      </c>
      <c r="S114" s="7" t="s">
        <v>329</v>
      </c>
      <c r="T114" s="7" t="s">
        <v>4093</v>
      </c>
    </row>
    <row r="115">
      <c r="A115" s="7" t="s">
        <v>2525</v>
      </c>
      <c r="B115" s="7" t="s">
        <v>2526</v>
      </c>
      <c r="C115" s="7" t="s">
        <v>2514</v>
      </c>
      <c r="D115" s="7" t="s">
        <v>2527</v>
      </c>
      <c r="E115" s="7" t="s">
        <v>3701</v>
      </c>
      <c r="F115" s="7" t="s">
        <v>3702</v>
      </c>
      <c r="G115" s="7" t="s">
        <v>4030</v>
      </c>
      <c r="H115" s="7" t="s">
        <v>3703</v>
      </c>
      <c r="I115" s="7" t="s">
        <v>4031</v>
      </c>
      <c r="J115" s="7" t="s">
        <v>2528</v>
      </c>
      <c r="K115" s="7" t="str">
        <f>IFERROR(__xludf.DUMMYFUNCTION("IF(E115="""","""",TEXTJOIN(""|"",TRUE,FILTER('29_FUNCTION_STANDARD_MAP'!A$2:A$43,ISNUMBER(SEARCH(""|""&amp;E115&amp;""|"",""|""&amp;'29_FUNCTION_STANDARD_MAP'!E$2:E$43&amp;""|"")))))"),"F-WD2-01|F-BUK-04")</f>
        <v>F-WD2-01|F-BUK-04</v>
      </c>
      <c r="L115" s="7" t="str">
        <f>IFERROR(__xludf.DUMMYFUNCTION("IF(E115="""","""",TEXTJOIN(""|"",TRUE,UNIQUE(FILTER('29_FUNCTION_STANDARD_MAP'!B$2:B$43,ISNUMBER(SEARCH(""|""&amp;E115&amp;""|"",""|""&amp;'29_FUNCTION_STANDARD_MAP'!E$2:E$43&amp;""|""))))))"),"WADIR2|BAG_UK")</f>
        <v>WADIR2|BAG_UK</v>
      </c>
      <c r="M115" s="7" t="s">
        <v>1376</v>
      </c>
      <c r="N115" s="7" t="s">
        <v>2529</v>
      </c>
      <c r="O115" s="7" t="s">
        <v>1465</v>
      </c>
      <c r="P115" s="7">
        <v>2.0</v>
      </c>
      <c r="Q115" s="7" t="b">
        <v>1</v>
      </c>
      <c r="R115" s="7" t="s">
        <v>3558</v>
      </c>
      <c r="S115" s="7" t="s">
        <v>329</v>
      </c>
      <c r="T115" s="7" t="s">
        <v>4093</v>
      </c>
    </row>
    <row r="116">
      <c r="A116" s="7" t="s">
        <v>2530</v>
      </c>
      <c r="B116" s="7" t="s">
        <v>2531</v>
      </c>
      <c r="C116" s="7" t="s">
        <v>2514</v>
      </c>
      <c r="D116" s="7" t="s">
        <v>2532</v>
      </c>
      <c r="E116" s="7" t="s">
        <v>3701</v>
      </c>
      <c r="F116" s="7" t="s">
        <v>3702</v>
      </c>
      <c r="G116" s="7" t="s">
        <v>4030</v>
      </c>
      <c r="H116" s="7" t="s">
        <v>3703</v>
      </c>
      <c r="I116" s="7" t="s">
        <v>4031</v>
      </c>
      <c r="J116" s="7" t="s">
        <v>2470</v>
      </c>
      <c r="K116" s="7" t="str">
        <f>IFERROR(__xludf.DUMMYFUNCTION("IF(E116="""","""",TEXTJOIN(""|"",TRUE,FILTER('29_FUNCTION_STANDARD_MAP'!A$2:A$43,ISNUMBER(SEARCH(""|""&amp;E116&amp;""|"",""|""&amp;'29_FUNCTION_STANDARD_MAP'!E$2:E$43&amp;""|"")))))"),"F-WD2-01|F-BUK-04")</f>
        <v>F-WD2-01|F-BUK-04</v>
      </c>
      <c r="L116" s="7" t="str">
        <f>IFERROR(__xludf.DUMMYFUNCTION("IF(E116="""","""",TEXTJOIN(""|"",TRUE,UNIQUE(FILTER('29_FUNCTION_STANDARD_MAP'!B$2:B$43,ISNUMBER(SEARCH(""|""&amp;E116&amp;""|"",""|""&amp;'29_FUNCTION_STANDARD_MAP'!E$2:E$43&amp;""|""))))))"),"WADIR2|BAG_UK")</f>
        <v>WADIR2|BAG_UK</v>
      </c>
      <c r="M116" s="7" t="s">
        <v>1376</v>
      </c>
      <c r="N116" s="7" t="s">
        <v>2533</v>
      </c>
      <c r="O116" s="7" t="s">
        <v>1465</v>
      </c>
      <c r="P116" s="7">
        <v>2.0</v>
      </c>
      <c r="Q116" s="7" t="b">
        <v>1</v>
      </c>
      <c r="R116" s="7" t="s">
        <v>3558</v>
      </c>
      <c r="S116" s="7" t="s">
        <v>329</v>
      </c>
      <c r="T116" s="7" t="s">
        <v>4093</v>
      </c>
    </row>
    <row r="117">
      <c r="A117" s="7" t="s">
        <v>2534</v>
      </c>
      <c r="B117" s="7" t="s">
        <v>2535</v>
      </c>
      <c r="C117" s="7" t="s">
        <v>2514</v>
      </c>
      <c r="D117" s="7" t="s">
        <v>2536</v>
      </c>
      <c r="E117" s="7" t="s">
        <v>3701</v>
      </c>
      <c r="F117" s="7" t="s">
        <v>3702</v>
      </c>
      <c r="G117" s="7" t="s">
        <v>4030</v>
      </c>
      <c r="H117" s="7" t="s">
        <v>3703</v>
      </c>
      <c r="I117" s="7" t="s">
        <v>4031</v>
      </c>
      <c r="J117" s="7" t="s">
        <v>2537</v>
      </c>
      <c r="K117" s="7" t="str">
        <f>IFERROR(__xludf.DUMMYFUNCTION("IF(E117="""","""",TEXTJOIN(""|"",TRUE,FILTER('29_FUNCTION_STANDARD_MAP'!A$2:A$43,ISNUMBER(SEARCH(""|""&amp;E117&amp;""|"",""|""&amp;'29_FUNCTION_STANDARD_MAP'!E$2:E$43&amp;""|"")))))"),"F-WD2-01|F-BUK-04")</f>
        <v>F-WD2-01|F-BUK-04</v>
      </c>
      <c r="L117" s="7" t="str">
        <f>IFERROR(__xludf.DUMMYFUNCTION("IF(E117="""","""",TEXTJOIN(""|"",TRUE,UNIQUE(FILTER('29_FUNCTION_STANDARD_MAP'!B$2:B$43,ISNUMBER(SEARCH(""|""&amp;E117&amp;""|"",""|""&amp;'29_FUNCTION_STANDARD_MAP'!E$2:E$43&amp;""|""))))))"),"WADIR2|BAG_UK")</f>
        <v>WADIR2|BAG_UK</v>
      </c>
      <c r="M117" s="7" t="s">
        <v>1376</v>
      </c>
      <c r="N117" s="7" t="s">
        <v>2538</v>
      </c>
      <c r="O117" s="7" t="s">
        <v>1465</v>
      </c>
      <c r="P117" s="7">
        <v>2.0</v>
      </c>
      <c r="Q117" s="7" t="b">
        <v>1</v>
      </c>
      <c r="R117" s="7" t="s">
        <v>3558</v>
      </c>
      <c r="S117" s="7" t="s">
        <v>329</v>
      </c>
      <c r="T117" s="7" t="s">
        <v>4093</v>
      </c>
    </row>
    <row r="118">
      <c r="A118" s="7" t="s">
        <v>2539</v>
      </c>
      <c r="B118" s="7" t="s">
        <v>2540</v>
      </c>
      <c r="C118" s="7" t="s">
        <v>2514</v>
      </c>
      <c r="D118" s="7" t="s">
        <v>2541</v>
      </c>
      <c r="E118" s="7" t="s">
        <v>3701</v>
      </c>
      <c r="F118" s="7" t="s">
        <v>3702</v>
      </c>
      <c r="G118" s="7" t="s">
        <v>4030</v>
      </c>
      <c r="H118" s="7" t="s">
        <v>3703</v>
      </c>
      <c r="I118" s="7" t="s">
        <v>4031</v>
      </c>
      <c r="J118" s="7" t="s">
        <v>2528</v>
      </c>
      <c r="K118" s="7" t="str">
        <f>IFERROR(__xludf.DUMMYFUNCTION("IF(E118="""","""",TEXTJOIN(""|"",TRUE,FILTER('29_FUNCTION_STANDARD_MAP'!A$2:A$43,ISNUMBER(SEARCH(""|""&amp;E118&amp;""|"",""|""&amp;'29_FUNCTION_STANDARD_MAP'!E$2:E$43&amp;""|"")))))"),"F-WD2-01|F-BUK-04")</f>
        <v>F-WD2-01|F-BUK-04</v>
      </c>
      <c r="L118" s="7" t="str">
        <f>IFERROR(__xludf.DUMMYFUNCTION("IF(E118="""","""",TEXTJOIN(""|"",TRUE,UNIQUE(FILTER('29_FUNCTION_STANDARD_MAP'!B$2:B$43,ISNUMBER(SEARCH(""|""&amp;E118&amp;""|"",""|""&amp;'29_FUNCTION_STANDARD_MAP'!E$2:E$43&amp;""|""))))))"),"WADIR2|BAG_UK")</f>
        <v>WADIR2|BAG_UK</v>
      </c>
      <c r="M118" s="7" t="s">
        <v>1376</v>
      </c>
      <c r="N118" s="7" t="s">
        <v>2542</v>
      </c>
      <c r="O118" s="7" t="s">
        <v>1465</v>
      </c>
      <c r="P118" s="7">
        <v>2.0</v>
      </c>
      <c r="Q118" s="7" t="b">
        <v>1</v>
      </c>
      <c r="R118" s="7" t="s">
        <v>3558</v>
      </c>
      <c r="S118" s="7" t="s">
        <v>329</v>
      </c>
      <c r="T118" s="7" t="s">
        <v>4093</v>
      </c>
    </row>
    <row r="119">
      <c r="A119" s="7" t="s">
        <v>2543</v>
      </c>
      <c r="B119" s="7" t="s">
        <v>2544</v>
      </c>
      <c r="C119" s="7" t="s">
        <v>2514</v>
      </c>
      <c r="D119" s="7" t="s">
        <v>2545</v>
      </c>
      <c r="E119" s="7" t="s">
        <v>3701</v>
      </c>
      <c r="F119" s="7" t="s">
        <v>3702</v>
      </c>
      <c r="G119" s="7" t="s">
        <v>4030</v>
      </c>
      <c r="H119" s="7" t="s">
        <v>3703</v>
      </c>
      <c r="I119" s="7" t="s">
        <v>4031</v>
      </c>
      <c r="J119" s="7" t="s">
        <v>1732</v>
      </c>
      <c r="K119" s="7" t="str">
        <f>IFERROR(__xludf.DUMMYFUNCTION("IF(E119="""","""",TEXTJOIN(""|"",TRUE,FILTER('29_FUNCTION_STANDARD_MAP'!A$2:A$43,ISNUMBER(SEARCH(""|""&amp;E119&amp;""|"",""|""&amp;'29_FUNCTION_STANDARD_MAP'!E$2:E$43&amp;""|"")))))"),"F-WD2-01|F-BUK-04")</f>
        <v>F-WD2-01|F-BUK-04</v>
      </c>
      <c r="L119" s="7" t="str">
        <f>IFERROR(__xludf.DUMMYFUNCTION("IF(E119="""","""",TEXTJOIN(""|"",TRUE,UNIQUE(FILTER('29_FUNCTION_STANDARD_MAP'!B$2:B$43,ISNUMBER(SEARCH(""|""&amp;E119&amp;""|"",""|""&amp;'29_FUNCTION_STANDARD_MAP'!E$2:E$43&amp;""|""))))))"),"WADIR2|BAG_UK")</f>
        <v>WADIR2|BAG_UK</v>
      </c>
      <c r="M119" s="7" t="s">
        <v>1376</v>
      </c>
      <c r="N119" s="7" t="s">
        <v>2546</v>
      </c>
      <c r="O119" s="7" t="s">
        <v>1465</v>
      </c>
      <c r="P119" s="7">
        <v>2.0</v>
      </c>
      <c r="Q119" s="7" t="b">
        <v>1</v>
      </c>
      <c r="R119" s="7" t="s">
        <v>3558</v>
      </c>
      <c r="S119" s="7" t="s">
        <v>329</v>
      </c>
      <c r="T119" s="7" t="s">
        <v>4093</v>
      </c>
    </row>
    <row r="120">
      <c r="A120" s="7" t="s">
        <v>2547</v>
      </c>
      <c r="B120" s="7" t="s">
        <v>2548</v>
      </c>
      <c r="C120" s="7" t="s">
        <v>2514</v>
      </c>
      <c r="D120" s="7" t="s">
        <v>2549</v>
      </c>
      <c r="E120" s="7" t="s">
        <v>3701</v>
      </c>
      <c r="F120" s="7" t="s">
        <v>3702</v>
      </c>
      <c r="G120" s="7" t="s">
        <v>4030</v>
      </c>
      <c r="H120" s="7" t="s">
        <v>3703</v>
      </c>
      <c r="I120" s="7" t="s">
        <v>4031</v>
      </c>
      <c r="J120" s="7" t="s">
        <v>1760</v>
      </c>
      <c r="K120" s="7" t="str">
        <f>IFERROR(__xludf.DUMMYFUNCTION("IF(E120="""","""",TEXTJOIN(""|"",TRUE,FILTER('29_FUNCTION_STANDARD_MAP'!A$2:A$43,ISNUMBER(SEARCH(""|""&amp;E120&amp;""|"",""|""&amp;'29_FUNCTION_STANDARD_MAP'!E$2:E$43&amp;""|"")))))"),"F-WD2-01|F-BUK-04")</f>
        <v>F-WD2-01|F-BUK-04</v>
      </c>
      <c r="L120" s="7" t="str">
        <f>IFERROR(__xludf.DUMMYFUNCTION("IF(E120="""","""",TEXTJOIN(""|"",TRUE,UNIQUE(FILTER('29_FUNCTION_STANDARD_MAP'!B$2:B$43,ISNUMBER(SEARCH(""|""&amp;E120&amp;""|"",""|""&amp;'29_FUNCTION_STANDARD_MAP'!E$2:E$43&amp;""|""))))))"),"WADIR2|BAG_UK")</f>
        <v>WADIR2|BAG_UK</v>
      </c>
      <c r="M120" s="7" t="s">
        <v>1376</v>
      </c>
      <c r="N120" s="7" t="s">
        <v>2550</v>
      </c>
      <c r="O120" s="7" t="s">
        <v>1465</v>
      </c>
      <c r="P120" s="7">
        <v>2.0</v>
      </c>
      <c r="Q120" s="7" t="b">
        <v>1</v>
      </c>
      <c r="R120" s="7" t="s">
        <v>3558</v>
      </c>
      <c r="S120" s="7" t="s">
        <v>329</v>
      </c>
      <c r="T120" s="7" t="s">
        <v>4093</v>
      </c>
    </row>
    <row r="121">
      <c r="A121" s="7" t="s">
        <v>2551</v>
      </c>
      <c r="B121" s="7" t="s">
        <v>2552</v>
      </c>
      <c r="C121" s="7" t="s">
        <v>2514</v>
      </c>
      <c r="D121" s="7" t="s">
        <v>2553</v>
      </c>
      <c r="E121" s="7" t="s">
        <v>3701</v>
      </c>
      <c r="F121" s="7" t="s">
        <v>3702</v>
      </c>
      <c r="G121" s="7" t="s">
        <v>4030</v>
      </c>
      <c r="H121" s="7" t="s">
        <v>3703</v>
      </c>
      <c r="I121" s="7" t="s">
        <v>4031</v>
      </c>
      <c r="J121" s="7" t="s">
        <v>2554</v>
      </c>
      <c r="K121" s="7" t="str">
        <f>IFERROR(__xludf.DUMMYFUNCTION("IF(E121="""","""",TEXTJOIN(""|"",TRUE,FILTER('29_FUNCTION_STANDARD_MAP'!A$2:A$43,ISNUMBER(SEARCH(""|""&amp;E121&amp;""|"",""|""&amp;'29_FUNCTION_STANDARD_MAP'!E$2:E$43&amp;""|"")))))"),"F-WD2-01|F-BUK-04")</f>
        <v>F-WD2-01|F-BUK-04</v>
      </c>
      <c r="L121" s="7" t="str">
        <f>IFERROR(__xludf.DUMMYFUNCTION("IF(E121="""","""",TEXTJOIN(""|"",TRUE,UNIQUE(FILTER('29_FUNCTION_STANDARD_MAP'!B$2:B$43,ISNUMBER(SEARCH(""|""&amp;E121&amp;""|"",""|""&amp;'29_FUNCTION_STANDARD_MAP'!E$2:E$43&amp;""|""))))))"),"WADIR2|BAG_UK")</f>
        <v>WADIR2|BAG_UK</v>
      </c>
      <c r="M121" s="7" t="s">
        <v>1376</v>
      </c>
      <c r="N121" s="7" t="s">
        <v>2555</v>
      </c>
      <c r="O121" s="7" t="s">
        <v>1465</v>
      </c>
      <c r="P121" s="7">
        <v>2.0</v>
      </c>
      <c r="Q121" s="7" t="b">
        <v>1</v>
      </c>
      <c r="R121" s="7" t="s">
        <v>3558</v>
      </c>
      <c r="S121" s="7" t="s">
        <v>329</v>
      </c>
      <c r="T121" s="7" t="s">
        <v>4093</v>
      </c>
    </row>
    <row r="122">
      <c r="A122" s="7" t="s">
        <v>2556</v>
      </c>
      <c r="B122" s="7" t="s">
        <v>2557</v>
      </c>
      <c r="C122" s="7" t="s">
        <v>2558</v>
      </c>
      <c r="D122" s="7" t="s">
        <v>2559</v>
      </c>
      <c r="E122" s="7" t="s">
        <v>3714</v>
      </c>
      <c r="F122" s="7" t="s">
        <v>3715</v>
      </c>
      <c r="G122" s="7" t="s">
        <v>4034</v>
      </c>
      <c r="H122" s="7" t="s">
        <v>3716</v>
      </c>
      <c r="I122" s="7" t="s">
        <v>4035</v>
      </c>
      <c r="J122" s="7" t="s">
        <v>1760</v>
      </c>
      <c r="K122" s="7" t="str">
        <f>IFERROR(__xludf.DUMMYFUNCTION("IF(E122="""","""",TEXTJOIN(""|"",TRUE,FILTER('29_FUNCTION_STANDARD_MAP'!A$2:A$43,ISNUMBER(SEARCH(""|""&amp;E122&amp;""|"",""|""&amp;'29_FUNCTION_STANDARD_MAP'!E$2:E$43&amp;""|"")))))"),"F-WD3-01|F-BAKPK-01|F-BAKPK-04")</f>
        <v>F-WD3-01|F-BAKPK-01|F-BAKPK-04</v>
      </c>
      <c r="L122" s="7" t="str">
        <f>IFERROR(__xludf.DUMMYFUNCTION("IF(E122="""","""",TEXTJOIN(""|"",TRUE,UNIQUE(FILTER('29_FUNCTION_STANDARD_MAP'!B$2:B$43,ISNUMBER(SEARCH(""|""&amp;E122&amp;""|"",""|""&amp;'29_FUNCTION_STANDARD_MAP'!E$2:E$43&amp;""|""))))))"),"WADIR3|BAG_AKPK")</f>
        <v>WADIR3|BAG_AKPK</v>
      </c>
      <c r="M122" s="7" t="s">
        <v>1371</v>
      </c>
      <c r="N122" s="7" t="s">
        <v>2560</v>
      </c>
      <c r="O122" s="7" t="s">
        <v>1465</v>
      </c>
      <c r="P122" s="7">
        <v>2.0</v>
      </c>
      <c r="Q122" s="7" t="b">
        <v>1</v>
      </c>
      <c r="R122" s="7" t="s">
        <v>3558</v>
      </c>
      <c r="S122" s="7" t="s">
        <v>329</v>
      </c>
      <c r="T122" s="7" t="s">
        <v>4093</v>
      </c>
    </row>
    <row r="123">
      <c r="A123" s="7" t="s">
        <v>2561</v>
      </c>
      <c r="B123" s="7" t="s">
        <v>2562</v>
      </c>
      <c r="C123" s="7" t="s">
        <v>2558</v>
      </c>
      <c r="D123" s="7" t="s">
        <v>2563</v>
      </c>
      <c r="E123" s="7" t="s">
        <v>3714</v>
      </c>
      <c r="F123" s="7" t="s">
        <v>3715</v>
      </c>
      <c r="G123" s="7" t="s">
        <v>4034</v>
      </c>
      <c r="H123" s="7" t="s">
        <v>3716</v>
      </c>
      <c r="I123" s="7" t="s">
        <v>4035</v>
      </c>
      <c r="J123" s="7" t="s">
        <v>2564</v>
      </c>
      <c r="K123" s="7" t="str">
        <f>IFERROR(__xludf.DUMMYFUNCTION("IF(E123="""","""",TEXTJOIN(""|"",TRUE,FILTER('29_FUNCTION_STANDARD_MAP'!A$2:A$43,ISNUMBER(SEARCH(""|""&amp;E123&amp;""|"",""|""&amp;'29_FUNCTION_STANDARD_MAP'!E$2:E$43&amp;""|"")))))"),"F-WD3-01|F-BAKPK-01|F-BAKPK-04")</f>
        <v>F-WD3-01|F-BAKPK-01|F-BAKPK-04</v>
      </c>
      <c r="L123" s="7" t="str">
        <f>IFERROR(__xludf.DUMMYFUNCTION("IF(E123="""","""",TEXTJOIN(""|"",TRUE,UNIQUE(FILTER('29_FUNCTION_STANDARD_MAP'!B$2:B$43,ISNUMBER(SEARCH(""|""&amp;E123&amp;""|"",""|""&amp;'29_FUNCTION_STANDARD_MAP'!E$2:E$43&amp;""|""))))))"),"WADIR3|BAG_AKPK")</f>
        <v>WADIR3|BAG_AKPK</v>
      </c>
      <c r="M123" s="7" t="s">
        <v>1371</v>
      </c>
      <c r="N123" s="7" t="s">
        <v>2565</v>
      </c>
      <c r="O123" s="7" t="s">
        <v>1465</v>
      </c>
      <c r="P123" s="7">
        <v>2.0</v>
      </c>
      <c r="Q123" s="7" t="b">
        <v>1</v>
      </c>
      <c r="R123" s="7" t="s">
        <v>3558</v>
      </c>
      <c r="S123" s="7" t="s">
        <v>329</v>
      </c>
      <c r="T123" s="7" t="s">
        <v>4093</v>
      </c>
    </row>
    <row r="124">
      <c r="A124" s="7" t="s">
        <v>2566</v>
      </c>
      <c r="B124" s="7" t="s">
        <v>2567</v>
      </c>
      <c r="C124" s="7" t="s">
        <v>2558</v>
      </c>
      <c r="D124" s="7" t="s">
        <v>2568</v>
      </c>
      <c r="E124" s="7" t="s">
        <v>3714</v>
      </c>
      <c r="F124" s="7" t="s">
        <v>3715</v>
      </c>
      <c r="G124" s="7" t="s">
        <v>4034</v>
      </c>
      <c r="H124" s="7" t="s">
        <v>3716</v>
      </c>
      <c r="I124" s="7" t="s">
        <v>4035</v>
      </c>
      <c r="J124" s="7">
        <v>8.2</v>
      </c>
      <c r="K124" s="7" t="str">
        <f>IFERROR(__xludf.DUMMYFUNCTION("IF(E124="""","""",TEXTJOIN(""|"",TRUE,FILTER('29_FUNCTION_STANDARD_MAP'!A$2:A$43,ISNUMBER(SEARCH(""|""&amp;E124&amp;""|"",""|""&amp;'29_FUNCTION_STANDARD_MAP'!E$2:E$43&amp;""|"")))))"),"F-WD3-01|F-BAKPK-01|F-BAKPK-04")</f>
        <v>F-WD3-01|F-BAKPK-01|F-BAKPK-04</v>
      </c>
      <c r="L124" s="7" t="str">
        <f>IFERROR(__xludf.DUMMYFUNCTION("IF(E124="""","""",TEXTJOIN(""|"",TRUE,UNIQUE(FILTER('29_FUNCTION_STANDARD_MAP'!B$2:B$43,ISNUMBER(SEARCH(""|""&amp;E124&amp;""|"",""|""&amp;'29_FUNCTION_STANDARD_MAP'!E$2:E$43&amp;""|""))))))"),"WADIR3|BAG_AKPK")</f>
        <v>WADIR3|BAG_AKPK</v>
      </c>
      <c r="M124" s="7" t="s">
        <v>1371</v>
      </c>
      <c r="N124" s="7" t="s">
        <v>2465</v>
      </c>
      <c r="O124" s="7" t="s">
        <v>1465</v>
      </c>
      <c r="P124" s="7">
        <v>2.0</v>
      </c>
      <c r="Q124" s="7" t="b">
        <v>1</v>
      </c>
      <c r="R124" s="7" t="s">
        <v>3558</v>
      </c>
      <c r="S124" s="7" t="s">
        <v>329</v>
      </c>
      <c r="T124" s="7" t="s">
        <v>4093</v>
      </c>
    </row>
    <row r="125">
      <c r="A125" s="7" t="s">
        <v>2569</v>
      </c>
      <c r="B125" s="7" t="s">
        <v>2570</v>
      </c>
      <c r="C125" s="7" t="s">
        <v>2558</v>
      </c>
      <c r="D125" s="7" t="s">
        <v>2571</v>
      </c>
      <c r="E125" s="7" t="s">
        <v>3714</v>
      </c>
      <c r="F125" s="7" t="s">
        <v>3715</v>
      </c>
      <c r="G125" s="7" t="s">
        <v>4034</v>
      </c>
      <c r="H125" s="7" t="s">
        <v>3716</v>
      </c>
      <c r="I125" s="7" t="s">
        <v>4035</v>
      </c>
      <c r="J125" s="7" t="s">
        <v>2381</v>
      </c>
      <c r="K125" s="7" t="str">
        <f>IFERROR(__xludf.DUMMYFUNCTION("IF(E125="""","""",TEXTJOIN(""|"",TRUE,FILTER('29_FUNCTION_STANDARD_MAP'!A$2:A$43,ISNUMBER(SEARCH(""|""&amp;E125&amp;""|"",""|""&amp;'29_FUNCTION_STANDARD_MAP'!E$2:E$43&amp;""|"")))))"),"F-WD3-01|F-BAKPK-01|F-BAKPK-04")</f>
        <v>F-WD3-01|F-BAKPK-01|F-BAKPK-04</v>
      </c>
      <c r="L125" s="7" t="str">
        <f>IFERROR(__xludf.DUMMYFUNCTION("IF(E125="""","""",TEXTJOIN(""|"",TRUE,UNIQUE(FILTER('29_FUNCTION_STANDARD_MAP'!B$2:B$43,ISNUMBER(SEARCH(""|""&amp;E125&amp;""|"",""|""&amp;'29_FUNCTION_STANDARD_MAP'!E$2:E$43&amp;""|""))))))"),"WADIR3|BAG_AKPK")</f>
        <v>WADIR3|BAG_AKPK</v>
      </c>
      <c r="M125" s="7" t="s">
        <v>1371</v>
      </c>
      <c r="N125" s="7" t="s">
        <v>2572</v>
      </c>
      <c r="O125" s="7" t="s">
        <v>1465</v>
      </c>
      <c r="P125" s="7">
        <v>2.0</v>
      </c>
      <c r="Q125" s="7" t="b">
        <v>1</v>
      </c>
      <c r="R125" s="7" t="s">
        <v>3558</v>
      </c>
      <c r="S125" s="7" t="s">
        <v>329</v>
      </c>
      <c r="T125" s="7" t="s">
        <v>4093</v>
      </c>
    </row>
    <row r="126">
      <c r="A126" s="7" t="s">
        <v>2573</v>
      </c>
      <c r="B126" s="7" t="s">
        <v>2574</v>
      </c>
      <c r="C126" s="7" t="s">
        <v>2558</v>
      </c>
      <c r="D126" s="7" t="s">
        <v>2575</v>
      </c>
      <c r="E126" s="7" t="s">
        <v>3714</v>
      </c>
      <c r="F126" s="7" t="s">
        <v>3715</v>
      </c>
      <c r="G126" s="7" t="s">
        <v>4034</v>
      </c>
      <c r="H126" s="7" t="s">
        <v>3716</v>
      </c>
      <c r="I126" s="7" t="s">
        <v>4035</v>
      </c>
      <c r="J126" s="7" t="s">
        <v>1760</v>
      </c>
      <c r="K126" s="7" t="str">
        <f>IFERROR(__xludf.DUMMYFUNCTION("IF(E126="""","""",TEXTJOIN(""|"",TRUE,FILTER('29_FUNCTION_STANDARD_MAP'!A$2:A$43,ISNUMBER(SEARCH(""|""&amp;E126&amp;""|"",""|""&amp;'29_FUNCTION_STANDARD_MAP'!E$2:E$43&amp;""|"")))))"),"F-WD3-01|F-BAKPK-01|F-BAKPK-04")</f>
        <v>F-WD3-01|F-BAKPK-01|F-BAKPK-04</v>
      </c>
      <c r="L126" s="7" t="str">
        <f>IFERROR(__xludf.DUMMYFUNCTION("IF(E126="""","""",TEXTJOIN(""|"",TRUE,UNIQUE(FILTER('29_FUNCTION_STANDARD_MAP'!B$2:B$43,ISNUMBER(SEARCH(""|""&amp;E126&amp;""|"",""|""&amp;'29_FUNCTION_STANDARD_MAP'!E$2:E$43&amp;""|""))))))"),"WADIR3|BAG_AKPK")</f>
        <v>WADIR3|BAG_AKPK</v>
      </c>
      <c r="M126" s="7" t="s">
        <v>1371</v>
      </c>
      <c r="N126" s="7" t="s">
        <v>2576</v>
      </c>
      <c r="O126" s="7" t="s">
        <v>1465</v>
      </c>
      <c r="P126" s="7">
        <v>2.0</v>
      </c>
      <c r="Q126" s="7" t="b">
        <v>1</v>
      </c>
      <c r="R126" s="7" t="s">
        <v>3558</v>
      </c>
      <c r="S126" s="7" t="s">
        <v>329</v>
      </c>
      <c r="T126" s="7" t="s">
        <v>4093</v>
      </c>
    </row>
    <row r="127">
      <c r="A127" s="7" t="s">
        <v>2577</v>
      </c>
      <c r="B127" s="7" t="s">
        <v>2578</v>
      </c>
      <c r="C127" s="7" t="s">
        <v>2558</v>
      </c>
      <c r="D127" s="7" t="s">
        <v>2579</v>
      </c>
      <c r="E127" s="7" t="s">
        <v>3714</v>
      </c>
      <c r="F127" s="7" t="s">
        <v>3715</v>
      </c>
      <c r="G127" s="7" t="s">
        <v>4034</v>
      </c>
      <c r="H127" s="7" t="s">
        <v>3716</v>
      </c>
      <c r="I127" s="7" t="s">
        <v>4035</v>
      </c>
      <c r="J127" s="7" t="s">
        <v>2580</v>
      </c>
      <c r="K127" s="7" t="str">
        <f>IFERROR(__xludf.DUMMYFUNCTION("IF(E127="""","""",TEXTJOIN(""|"",TRUE,FILTER('29_FUNCTION_STANDARD_MAP'!A$2:A$43,ISNUMBER(SEARCH(""|""&amp;E127&amp;""|"",""|""&amp;'29_FUNCTION_STANDARD_MAP'!E$2:E$43&amp;""|"")))))"),"F-WD3-01|F-BAKPK-01|F-BAKPK-04")</f>
        <v>F-WD3-01|F-BAKPK-01|F-BAKPK-04</v>
      </c>
      <c r="L127" s="7" t="str">
        <f>IFERROR(__xludf.DUMMYFUNCTION("IF(E127="""","""",TEXTJOIN(""|"",TRUE,UNIQUE(FILTER('29_FUNCTION_STANDARD_MAP'!B$2:B$43,ISNUMBER(SEARCH(""|""&amp;E127&amp;""|"",""|""&amp;'29_FUNCTION_STANDARD_MAP'!E$2:E$43&amp;""|""))))))"),"WADIR3|BAG_AKPK")</f>
        <v>WADIR3|BAG_AKPK</v>
      </c>
      <c r="M127" s="7" t="s">
        <v>1371</v>
      </c>
      <c r="N127" s="7" t="s">
        <v>2465</v>
      </c>
      <c r="O127" s="7" t="s">
        <v>1465</v>
      </c>
      <c r="P127" s="7">
        <v>2.0</v>
      </c>
      <c r="Q127" s="7" t="b">
        <v>1</v>
      </c>
      <c r="R127" s="7" t="s">
        <v>3558</v>
      </c>
      <c r="S127" s="7" t="s">
        <v>329</v>
      </c>
      <c r="T127" s="7" t="s">
        <v>4093</v>
      </c>
    </row>
    <row r="128">
      <c r="A128" s="7" t="s">
        <v>2581</v>
      </c>
      <c r="B128" s="7" t="s">
        <v>2582</v>
      </c>
      <c r="C128" s="7" t="s">
        <v>2558</v>
      </c>
      <c r="D128" s="7" t="s">
        <v>2583</v>
      </c>
      <c r="E128" s="7" t="s">
        <v>3714</v>
      </c>
      <c r="F128" s="7" t="s">
        <v>3715</v>
      </c>
      <c r="G128" s="7" t="s">
        <v>4034</v>
      </c>
      <c r="H128" s="7" t="s">
        <v>3716</v>
      </c>
      <c r="I128" s="7" t="s">
        <v>4035</v>
      </c>
      <c r="J128" s="7" t="s">
        <v>2584</v>
      </c>
      <c r="K128" s="7" t="str">
        <f>IFERROR(__xludf.DUMMYFUNCTION("IF(E128="""","""",TEXTJOIN(""|"",TRUE,FILTER('29_FUNCTION_STANDARD_MAP'!A$2:A$43,ISNUMBER(SEARCH(""|""&amp;E128&amp;""|"",""|""&amp;'29_FUNCTION_STANDARD_MAP'!E$2:E$43&amp;""|"")))))"),"F-WD3-01|F-BAKPK-01|F-BAKPK-04")</f>
        <v>F-WD3-01|F-BAKPK-01|F-BAKPK-04</v>
      </c>
      <c r="L128" s="7" t="str">
        <f>IFERROR(__xludf.DUMMYFUNCTION("IF(E128="""","""",TEXTJOIN(""|"",TRUE,UNIQUE(FILTER('29_FUNCTION_STANDARD_MAP'!B$2:B$43,ISNUMBER(SEARCH(""|""&amp;E128&amp;""|"",""|""&amp;'29_FUNCTION_STANDARD_MAP'!E$2:E$43&amp;""|""))))))"),"WADIR3|BAG_AKPK")</f>
        <v>WADIR3|BAG_AKPK</v>
      </c>
      <c r="M128" s="7" t="s">
        <v>1371</v>
      </c>
      <c r="N128" s="7" t="s">
        <v>2585</v>
      </c>
      <c r="O128" s="7" t="s">
        <v>1465</v>
      </c>
      <c r="P128" s="7">
        <v>2.0</v>
      </c>
      <c r="Q128" s="7" t="b">
        <v>1</v>
      </c>
      <c r="R128" s="7" t="s">
        <v>3558</v>
      </c>
      <c r="S128" s="7" t="s">
        <v>329</v>
      </c>
      <c r="T128" s="7" t="s">
        <v>4093</v>
      </c>
    </row>
    <row r="129">
      <c r="A129" s="7" t="s">
        <v>2586</v>
      </c>
      <c r="B129" s="7" t="s">
        <v>2587</v>
      </c>
      <c r="C129" s="7" t="s">
        <v>2558</v>
      </c>
      <c r="D129" s="7" t="s">
        <v>2588</v>
      </c>
      <c r="E129" s="7" t="s">
        <v>3714</v>
      </c>
      <c r="F129" s="7" t="s">
        <v>3715</v>
      </c>
      <c r="G129" s="7" t="s">
        <v>4034</v>
      </c>
      <c r="H129" s="7" t="s">
        <v>3716</v>
      </c>
      <c r="I129" s="7" t="s">
        <v>4035</v>
      </c>
      <c r="J129" s="7" t="s">
        <v>2589</v>
      </c>
      <c r="K129" s="7" t="str">
        <f>IFERROR(__xludf.DUMMYFUNCTION("IF(E129="""","""",TEXTJOIN(""|"",TRUE,FILTER('29_FUNCTION_STANDARD_MAP'!A$2:A$43,ISNUMBER(SEARCH(""|""&amp;E129&amp;""|"",""|""&amp;'29_FUNCTION_STANDARD_MAP'!E$2:E$43&amp;""|"")))))"),"F-WD3-01|F-BAKPK-01|F-BAKPK-04")</f>
        <v>F-WD3-01|F-BAKPK-01|F-BAKPK-04</v>
      </c>
      <c r="L129" s="7" t="str">
        <f>IFERROR(__xludf.DUMMYFUNCTION("IF(E129="""","""",TEXTJOIN(""|"",TRUE,UNIQUE(FILTER('29_FUNCTION_STANDARD_MAP'!B$2:B$43,ISNUMBER(SEARCH(""|""&amp;E129&amp;""|"",""|""&amp;'29_FUNCTION_STANDARD_MAP'!E$2:E$43&amp;""|""))))))"),"WADIR3|BAG_AKPK")</f>
        <v>WADIR3|BAG_AKPK</v>
      </c>
      <c r="M129" s="7" t="s">
        <v>1371</v>
      </c>
      <c r="N129" s="7" t="s">
        <v>2590</v>
      </c>
      <c r="O129" s="7" t="s">
        <v>1465</v>
      </c>
      <c r="P129" s="7">
        <v>2.0</v>
      </c>
      <c r="Q129" s="7" t="b">
        <v>1</v>
      </c>
      <c r="R129" s="7" t="s">
        <v>3558</v>
      </c>
      <c r="S129" s="7" t="s">
        <v>329</v>
      </c>
      <c r="T129" s="7" t="s">
        <v>4093</v>
      </c>
    </row>
    <row r="130">
      <c r="A130" s="7" t="s">
        <v>2591</v>
      </c>
      <c r="B130" s="7" t="s">
        <v>2592</v>
      </c>
      <c r="C130" s="7" t="s">
        <v>2558</v>
      </c>
      <c r="D130" s="7" t="s">
        <v>2593</v>
      </c>
      <c r="E130" s="7" t="s">
        <v>3714</v>
      </c>
      <c r="F130" s="7" t="s">
        <v>3715</v>
      </c>
      <c r="G130" s="7" t="s">
        <v>4034</v>
      </c>
      <c r="H130" s="7" t="s">
        <v>3716</v>
      </c>
      <c r="I130" s="7" t="s">
        <v>4035</v>
      </c>
      <c r="J130" s="7" t="s">
        <v>2528</v>
      </c>
      <c r="K130" s="7" t="str">
        <f>IFERROR(__xludf.DUMMYFUNCTION("IF(E130="""","""",TEXTJOIN(""|"",TRUE,FILTER('29_FUNCTION_STANDARD_MAP'!A$2:A$43,ISNUMBER(SEARCH(""|""&amp;E130&amp;""|"",""|""&amp;'29_FUNCTION_STANDARD_MAP'!E$2:E$43&amp;""|"")))))"),"F-WD3-01|F-BAKPK-01|F-BAKPK-04")</f>
        <v>F-WD3-01|F-BAKPK-01|F-BAKPK-04</v>
      </c>
      <c r="L130" s="7" t="str">
        <f>IFERROR(__xludf.DUMMYFUNCTION("IF(E130="""","""",TEXTJOIN(""|"",TRUE,UNIQUE(FILTER('29_FUNCTION_STANDARD_MAP'!B$2:B$43,ISNUMBER(SEARCH(""|""&amp;E130&amp;""|"",""|""&amp;'29_FUNCTION_STANDARD_MAP'!E$2:E$43&amp;""|""))))))"),"WADIR3|BAG_AKPK")</f>
        <v>WADIR3|BAG_AKPK</v>
      </c>
      <c r="M130" s="7" t="s">
        <v>1371</v>
      </c>
      <c r="N130" s="7" t="s">
        <v>2594</v>
      </c>
      <c r="O130" s="7" t="s">
        <v>1465</v>
      </c>
      <c r="P130" s="7">
        <v>2.0</v>
      </c>
      <c r="Q130" s="7" t="b">
        <v>1</v>
      </c>
      <c r="R130" s="7" t="s">
        <v>3558</v>
      </c>
      <c r="S130" s="7" t="s">
        <v>329</v>
      </c>
      <c r="T130" s="7" t="s">
        <v>4093</v>
      </c>
    </row>
    <row r="131">
      <c r="A131" s="7" t="s">
        <v>2595</v>
      </c>
      <c r="B131" s="7" t="s">
        <v>2596</v>
      </c>
      <c r="C131" s="7" t="s">
        <v>2558</v>
      </c>
      <c r="D131" s="7" t="s">
        <v>2597</v>
      </c>
      <c r="E131" s="7" t="s">
        <v>3714</v>
      </c>
      <c r="F131" s="7" t="s">
        <v>3715</v>
      </c>
      <c r="G131" s="7" t="s">
        <v>4034</v>
      </c>
      <c r="H131" s="7" t="s">
        <v>3716</v>
      </c>
      <c r="I131" s="7" t="s">
        <v>4035</v>
      </c>
      <c r="J131" s="7" t="s">
        <v>1770</v>
      </c>
      <c r="K131" s="7" t="str">
        <f>IFERROR(__xludf.DUMMYFUNCTION("IF(E131="""","""",TEXTJOIN(""|"",TRUE,FILTER('29_FUNCTION_STANDARD_MAP'!A$2:A$43,ISNUMBER(SEARCH(""|""&amp;E131&amp;""|"",""|""&amp;'29_FUNCTION_STANDARD_MAP'!E$2:E$43&amp;""|"")))))"),"F-WD3-01|F-BAKPK-01|F-BAKPK-04")</f>
        <v>F-WD3-01|F-BAKPK-01|F-BAKPK-04</v>
      </c>
      <c r="L131" s="7" t="str">
        <f>IFERROR(__xludf.DUMMYFUNCTION("IF(E131="""","""",TEXTJOIN(""|"",TRUE,UNIQUE(FILTER('29_FUNCTION_STANDARD_MAP'!B$2:B$43,ISNUMBER(SEARCH(""|""&amp;E131&amp;""|"",""|""&amp;'29_FUNCTION_STANDARD_MAP'!E$2:E$43&amp;""|""))))))"),"WADIR3|BAG_AKPK")</f>
        <v>WADIR3|BAG_AKPK</v>
      </c>
      <c r="M131" s="7" t="s">
        <v>1371</v>
      </c>
      <c r="N131" s="7" t="s">
        <v>2598</v>
      </c>
      <c r="O131" s="7" t="s">
        <v>1465</v>
      </c>
      <c r="P131" s="7">
        <v>2.0</v>
      </c>
      <c r="Q131" s="7" t="b">
        <v>1</v>
      </c>
      <c r="R131" s="7" t="s">
        <v>3558</v>
      </c>
      <c r="S131" s="7" t="s">
        <v>329</v>
      </c>
      <c r="T131" s="7" t="s">
        <v>4093</v>
      </c>
    </row>
    <row r="132">
      <c r="A132" s="7" t="s">
        <v>2599</v>
      </c>
      <c r="B132" s="7" t="s">
        <v>2600</v>
      </c>
      <c r="C132" s="7" t="s">
        <v>2558</v>
      </c>
      <c r="D132" s="7" t="s">
        <v>2601</v>
      </c>
      <c r="E132" s="7" t="s">
        <v>3714</v>
      </c>
      <c r="F132" s="7" t="s">
        <v>3715</v>
      </c>
      <c r="G132" s="7" t="s">
        <v>4034</v>
      </c>
      <c r="H132" s="7" t="s">
        <v>3716</v>
      </c>
      <c r="I132" s="7" t="s">
        <v>4035</v>
      </c>
      <c r="J132" s="7" t="s">
        <v>2044</v>
      </c>
      <c r="K132" s="7" t="str">
        <f>IFERROR(__xludf.DUMMYFUNCTION("IF(E132="""","""",TEXTJOIN(""|"",TRUE,FILTER('29_FUNCTION_STANDARD_MAP'!A$2:A$43,ISNUMBER(SEARCH(""|""&amp;E132&amp;""|"",""|""&amp;'29_FUNCTION_STANDARD_MAP'!E$2:E$43&amp;""|"")))))"),"F-WD3-01|F-BAKPK-01|F-BAKPK-04")</f>
        <v>F-WD3-01|F-BAKPK-01|F-BAKPK-04</v>
      </c>
      <c r="L132" s="7" t="str">
        <f>IFERROR(__xludf.DUMMYFUNCTION("IF(E132="""","""",TEXTJOIN(""|"",TRUE,UNIQUE(FILTER('29_FUNCTION_STANDARD_MAP'!B$2:B$43,ISNUMBER(SEARCH(""|""&amp;E132&amp;""|"",""|""&amp;'29_FUNCTION_STANDARD_MAP'!E$2:E$43&amp;""|""))))))"),"WADIR3|BAG_AKPK")</f>
        <v>WADIR3|BAG_AKPK</v>
      </c>
      <c r="M132" s="7" t="s">
        <v>1371</v>
      </c>
      <c r="N132" s="7" t="s">
        <v>2460</v>
      </c>
      <c r="O132" s="7" t="s">
        <v>1465</v>
      </c>
      <c r="P132" s="7">
        <v>2.0</v>
      </c>
      <c r="Q132" s="7" t="b">
        <v>1</v>
      </c>
      <c r="R132" s="7" t="s">
        <v>3558</v>
      </c>
      <c r="S132" s="7" t="s">
        <v>329</v>
      </c>
      <c r="T132" s="7" t="s">
        <v>4093</v>
      </c>
    </row>
    <row r="133">
      <c r="A133" s="7" t="s">
        <v>2602</v>
      </c>
      <c r="B133" s="7" t="s">
        <v>2603</v>
      </c>
      <c r="C133" s="7" t="s">
        <v>2558</v>
      </c>
      <c r="D133" s="7" t="s">
        <v>2604</v>
      </c>
      <c r="E133" s="7" t="s">
        <v>3714</v>
      </c>
      <c r="F133" s="7" t="s">
        <v>3715</v>
      </c>
      <c r="G133" s="7" t="s">
        <v>4034</v>
      </c>
      <c r="H133" s="7" t="s">
        <v>3716</v>
      </c>
      <c r="I133" s="7" t="s">
        <v>4035</v>
      </c>
      <c r="J133" s="7" t="s">
        <v>1765</v>
      </c>
      <c r="K133" s="7" t="str">
        <f>IFERROR(__xludf.DUMMYFUNCTION("IF(E133="""","""",TEXTJOIN(""|"",TRUE,FILTER('29_FUNCTION_STANDARD_MAP'!A$2:A$43,ISNUMBER(SEARCH(""|""&amp;E133&amp;""|"",""|""&amp;'29_FUNCTION_STANDARD_MAP'!E$2:E$43&amp;""|"")))))"),"F-WD3-01|F-BAKPK-01|F-BAKPK-04")</f>
        <v>F-WD3-01|F-BAKPK-01|F-BAKPK-04</v>
      </c>
      <c r="L133" s="7" t="str">
        <f>IFERROR(__xludf.DUMMYFUNCTION("IF(E133="""","""",TEXTJOIN(""|"",TRUE,UNIQUE(FILTER('29_FUNCTION_STANDARD_MAP'!B$2:B$43,ISNUMBER(SEARCH(""|""&amp;E133&amp;""|"",""|""&amp;'29_FUNCTION_STANDARD_MAP'!E$2:E$43&amp;""|""))))))"),"WADIR3|BAG_AKPK")</f>
        <v>WADIR3|BAG_AKPK</v>
      </c>
      <c r="M133" s="7" t="s">
        <v>1371</v>
      </c>
      <c r="N133" s="7" t="s">
        <v>2605</v>
      </c>
      <c r="O133" s="7" t="s">
        <v>1465</v>
      </c>
      <c r="P133" s="7">
        <v>2.0</v>
      </c>
      <c r="Q133" s="7" t="b">
        <v>1</v>
      </c>
      <c r="R133" s="7" t="s">
        <v>3558</v>
      </c>
      <c r="S133" s="7" t="s">
        <v>329</v>
      </c>
      <c r="T133" s="7" t="s">
        <v>4093</v>
      </c>
    </row>
    <row r="134">
      <c r="A134" s="7" t="s">
        <v>2606</v>
      </c>
      <c r="B134" s="7" t="s">
        <v>2607</v>
      </c>
      <c r="C134" s="7" t="s">
        <v>2608</v>
      </c>
      <c r="D134" s="7" t="s">
        <v>2609</v>
      </c>
      <c r="E134" s="7" t="s">
        <v>3729</v>
      </c>
      <c r="F134" s="7" t="s">
        <v>3730</v>
      </c>
      <c r="G134" s="7" t="s">
        <v>4039</v>
      </c>
      <c r="H134" s="7" t="s">
        <v>3731</v>
      </c>
      <c r="I134" s="7" t="s">
        <v>4040</v>
      </c>
      <c r="J134" s="7" t="s">
        <v>2610</v>
      </c>
      <c r="K134" s="7" t="str">
        <f>IFERROR(__xludf.DUMMYFUNCTION("IF(E134="""","""",TEXTJOIN(""|"",TRUE,FILTER('29_FUNCTION_STANDARD_MAP'!A$2:A$43,ISNUMBER(SEARCH(""|""&amp;E134&amp;""|"",""|""&amp;'29_FUNCTION_STANDARD_MAP'!E$2:E$43&amp;""|"")))))"),"F-WD3-01|F-BAKPK-03|F-BAKPK-04")</f>
        <v>F-WD3-01|F-BAKPK-03|F-BAKPK-04</v>
      </c>
      <c r="L134" s="7" t="str">
        <f>IFERROR(__xludf.DUMMYFUNCTION("IF(E134="""","""",TEXTJOIN(""|"",TRUE,UNIQUE(FILTER('29_FUNCTION_STANDARD_MAP'!B$2:B$43,ISNUMBER(SEARCH(""|""&amp;E134&amp;""|"",""|""&amp;'29_FUNCTION_STANDARD_MAP'!E$2:E$43&amp;""|""))))))"),"WADIR3|BAG_AKPK")</f>
        <v>WADIR3|BAG_AKPK</v>
      </c>
      <c r="M134" s="7" t="s">
        <v>1371</v>
      </c>
      <c r="N134" s="7" t="s">
        <v>2611</v>
      </c>
      <c r="O134" s="7" t="s">
        <v>1465</v>
      </c>
      <c r="P134" s="7">
        <v>2.0</v>
      </c>
      <c r="Q134" s="7" t="b">
        <v>1</v>
      </c>
      <c r="R134" s="7" t="s">
        <v>3558</v>
      </c>
      <c r="S134" s="7" t="s">
        <v>329</v>
      </c>
      <c r="T134" s="7" t="s">
        <v>4093</v>
      </c>
    </row>
    <row r="135">
      <c r="A135" s="7" t="s">
        <v>2612</v>
      </c>
      <c r="B135" s="7" t="s">
        <v>2613</v>
      </c>
      <c r="C135" s="7" t="s">
        <v>2608</v>
      </c>
      <c r="D135" s="7" t="s">
        <v>2614</v>
      </c>
      <c r="E135" s="7" t="s">
        <v>3729</v>
      </c>
      <c r="F135" s="7" t="s">
        <v>3730</v>
      </c>
      <c r="G135" s="7" t="s">
        <v>4039</v>
      </c>
      <c r="H135" s="7" t="s">
        <v>3731</v>
      </c>
      <c r="I135" s="7" t="s">
        <v>4040</v>
      </c>
      <c r="J135" s="7" t="s">
        <v>2615</v>
      </c>
      <c r="K135" s="7" t="str">
        <f>IFERROR(__xludf.DUMMYFUNCTION("IF(E135="""","""",TEXTJOIN(""|"",TRUE,FILTER('29_FUNCTION_STANDARD_MAP'!A$2:A$43,ISNUMBER(SEARCH(""|""&amp;E135&amp;""|"",""|""&amp;'29_FUNCTION_STANDARD_MAP'!E$2:E$43&amp;""|"")))))"),"F-WD3-01|F-BAKPK-03|F-BAKPK-04")</f>
        <v>F-WD3-01|F-BAKPK-03|F-BAKPK-04</v>
      </c>
      <c r="L135" s="7" t="str">
        <f>IFERROR(__xludf.DUMMYFUNCTION("IF(E135="""","""",TEXTJOIN(""|"",TRUE,UNIQUE(FILTER('29_FUNCTION_STANDARD_MAP'!B$2:B$43,ISNUMBER(SEARCH(""|""&amp;E135&amp;""|"",""|""&amp;'29_FUNCTION_STANDARD_MAP'!E$2:E$43&amp;""|""))))))"),"WADIR3|BAG_AKPK")</f>
        <v>WADIR3|BAG_AKPK</v>
      </c>
      <c r="M135" s="7" t="s">
        <v>1371</v>
      </c>
      <c r="N135" s="7" t="s">
        <v>2616</v>
      </c>
      <c r="O135" s="7" t="s">
        <v>1465</v>
      </c>
      <c r="P135" s="7">
        <v>2.0</v>
      </c>
      <c r="Q135" s="7" t="b">
        <v>1</v>
      </c>
      <c r="R135" s="7" t="s">
        <v>3558</v>
      </c>
      <c r="S135" s="7" t="s">
        <v>329</v>
      </c>
      <c r="T135" s="7" t="s">
        <v>4093</v>
      </c>
    </row>
    <row r="136">
      <c r="A136" s="7" t="s">
        <v>2617</v>
      </c>
      <c r="B136" s="7" t="s">
        <v>2618</v>
      </c>
      <c r="C136" s="7" t="s">
        <v>2608</v>
      </c>
      <c r="D136" s="7" t="s">
        <v>2619</v>
      </c>
      <c r="E136" s="7" t="s">
        <v>3729</v>
      </c>
      <c r="F136" s="7" t="s">
        <v>3730</v>
      </c>
      <c r="G136" s="7" t="s">
        <v>4039</v>
      </c>
      <c r="H136" s="7" t="s">
        <v>3731</v>
      </c>
      <c r="I136" s="7" t="s">
        <v>4040</v>
      </c>
      <c r="J136" s="7">
        <v>8.6</v>
      </c>
      <c r="K136" s="7" t="str">
        <f>IFERROR(__xludf.DUMMYFUNCTION("IF(E136="""","""",TEXTJOIN(""|"",TRUE,FILTER('29_FUNCTION_STANDARD_MAP'!A$2:A$43,ISNUMBER(SEARCH(""|""&amp;E136&amp;""|"",""|""&amp;'29_FUNCTION_STANDARD_MAP'!E$2:E$43&amp;""|"")))))"),"F-WD3-01|F-BAKPK-03|F-BAKPK-04")</f>
        <v>F-WD3-01|F-BAKPK-03|F-BAKPK-04</v>
      </c>
      <c r="L136" s="7" t="str">
        <f>IFERROR(__xludf.DUMMYFUNCTION("IF(E136="""","""",TEXTJOIN(""|"",TRUE,UNIQUE(FILTER('29_FUNCTION_STANDARD_MAP'!B$2:B$43,ISNUMBER(SEARCH(""|""&amp;E136&amp;""|"",""|""&amp;'29_FUNCTION_STANDARD_MAP'!E$2:E$43&amp;""|""))))))"),"WADIR3|BAG_AKPK")</f>
        <v>WADIR3|BAG_AKPK</v>
      </c>
      <c r="M136" s="7" t="s">
        <v>1371</v>
      </c>
      <c r="N136" s="7" t="s">
        <v>2620</v>
      </c>
      <c r="O136" s="7" t="s">
        <v>1465</v>
      </c>
      <c r="P136" s="7">
        <v>2.0</v>
      </c>
      <c r="Q136" s="7" t="b">
        <v>1</v>
      </c>
      <c r="R136" s="7" t="s">
        <v>3558</v>
      </c>
      <c r="S136" s="7" t="s">
        <v>329</v>
      </c>
      <c r="T136" s="7" t="s">
        <v>4093</v>
      </c>
    </row>
    <row r="137">
      <c r="A137" s="7" t="s">
        <v>2621</v>
      </c>
      <c r="B137" s="7" t="s">
        <v>2622</v>
      </c>
      <c r="C137" s="7" t="s">
        <v>2608</v>
      </c>
      <c r="D137" s="7" t="s">
        <v>2623</v>
      </c>
      <c r="E137" s="7" t="s">
        <v>3729</v>
      </c>
      <c r="F137" s="7" t="s">
        <v>3730</v>
      </c>
      <c r="G137" s="7" t="s">
        <v>4039</v>
      </c>
      <c r="H137" s="7" t="s">
        <v>3731</v>
      </c>
      <c r="I137" s="7" t="s">
        <v>4040</v>
      </c>
      <c r="J137" s="7" t="s">
        <v>2610</v>
      </c>
      <c r="K137" s="7" t="str">
        <f>IFERROR(__xludf.DUMMYFUNCTION("IF(E137="""","""",TEXTJOIN(""|"",TRUE,FILTER('29_FUNCTION_STANDARD_MAP'!A$2:A$43,ISNUMBER(SEARCH(""|""&amp;E137&amp;""|"",""|""&amp;'29_FUNCTION_STANDARD_MAP'!E$2:E$43&amp;""|"")))))"),"F-WD3-01|F-BAKPK-03|F-BAKPK-04")</f>
        <v>F-WD3-01|F-BAKPK-03|F-BAKPK-04</v>
      </c>
      <c r="L137" s="7" t="str">
        <f>IFERROR(__xludf.DUMMYFUNCTION("IF(E137="""","""",TEXTJOIN(""|"",TRUE,UNIQUE(FILTER('29_FUNCTION_STANDARD_MAP'!B$2:B$43,ISNUMBER(SEARCH(""|""&amp;E137&amp;""|"",""|""&amp;'29_FUNCTION_STANDARD_MAP'!E$2:E$43&amp;""|""))))))"),"WADIR3|BAG_AKPK")</f>
        <v>WADIR3|BAG_AKPK</v>
      </c>
      <c r="M137" s="7" t="s">
        <v>1371</v>
      </c>
      <c r="N137" s="7" t="s">
        <v>2624</v>
      </c>
      <c r="O137" s="7" t="s">
        <v>1465</v>
      </c>
      <c r="P137" s="7">
        <v>2.0</v>
      </c>
      <c r="Q137" s="7" t="b">
        <v>1</v>
      </c>
      <c r="R137" s="7" t="s">
        <v>3558</v>
      </c>
      <c r="S137" s="7" t="s">
        <v>329</v>
      </c>
      <c r="T137" s="7" t="s">
        <v>4093</v>
      </c>
    </row>
    <row r="138">
      <c r="A138" s="7" t="s">
        <v>2625</v>
      </c>
      <c r="B138" s="7" t="s">
        <v>2626</v>
      </c>
      <c r="C138" s="7" t="s">
        <v>2608</v>
      </c>
      <c r="D138" s="7" t="s">
        <v>2627</v>
      </c>
      <c r="E138" s="7" t="s">
        <v>3729</v>
      </c>
      <c r="F138" s="7" t="s">
        <v>3730</v>
      </c>
      <c r="G138" s="7" t="s">
        <v>4039</v>
      </c>
      <c r="H138" s="7" t="s">
        <v>3731</v>
      </c>
      <c r="I138" s="7" t="s">
        <v>4040</v>
      </c>
      <c r="J138" s="7" t="s">
        <v>2628</v>
      </c>
      <c r="K138" s="7" t="str">
        <f>IFERROR(__xludf.DUMMYFUNCTION("IF(E138="""","""",TEXTJOIN(""|"",TRUE,FILTER('29_FUNCTION_STANDARD_MAP'!A$2:A$43,ISNUMBER(SEARCH(""|""&amp;E138&amp;""|"",""|""&amp;'29_FUNCTION_STANDARD_MAP'!E$2:E$43&amp;""|"")))))"),"F-WD3-01|F-BAKPK-03|F-BAKPK-04")</f>
        <v>F-WD3-01|F-BAKPK-03|F-BAKPK-04</v>
      </c>
      <c r="L138" s="7" t="str">
        <f>IFERROR(__xludf.DUMMYFUNCTION("IF(E138="""","""",TEXTJOIN(""|"",TRUE,UNIQUE(FILTER('29_FUNCTION_STANDARD_MAP'!B$2:B$43,ISNUMBER(SEARCH(""|""&amp;E138&amp;""|"",""|""&amp;'29_FUNCTION_STANDARD_MAP'!E$2:E$43&amp;""|""))))))"),"WADIR3|BAG_AKPK")</f>
        <v>WADIR3|BAG_AKPK</v>
      </c>
      <c r="M138" s="7" t="s">
        <v>1371</v>
      </c>
      <c r="N138" s="7" t="s">
        <v>2629</v>
      </c>
      <c r="O138" s="7" t="s">
        <v>1465</v>
      </c>
      <c r="P138" s="7">
        <v>2.0</v>
      </c>
      <c r="Q138" s="7" t="b">
        <v>1</v>
      </c>
      <c r="R138" s="7" t="s">
        <v>3558</v>
      </c>
      <c r="S138" s="7" t="s">
        <v>329</v>
      </c>
      <c r="T138" s="7" t="s">
        <v>4093</v>
      </c>
    </row>
    <row r="139">
      <c r="A139" s="7" t="s">
        <v>2630</v>
      </c>
      <c r="B139" s="7" t="s">
        <v>2631</v>
      </c>
      <c r="C139" s="7" t="s">
        <v>2608</v>
      </c>
      <c r="D139" s="7" t="s">
        <v>2632</v>
      </c>
      <c r="E139" s="7" t="s">
        <v>3729</v>
      </c>
      <c r="F139" s="7" t="s">
        <v>3730</v>
      </c>
      <c r="G139" s="7" t="s">
        <v>4039</v>
      </c>
      <c r="H139" s="7" t="s">
        <v>3731</v>
      </c>
      <c r="I139" s="7" t="s">
        <v>4040</v>
      </c>
      <c r="J139" s="7" t="s">
        <v>1770</v>
      </c>
      <c r="K139" s="7" t="str">
        <f>IFERROR(__xludf.DUMMYFUNCTION("IF(E139="""","""",TEXTJOIN(""|"",TRUE,FILTER('29_FUNCTION_STANDARD_MAP'!A$2:A$43,ISNUMBER(SEARCH(""|""&amp;E139&amp;""|"",""|""&amp;'29_FUNCTION_STANDARD_MAP'!E$2:E$43&amp;""|"")))))"),"F-WD3-01|F-BAKPK-03|F-BAKPK-04")</f>
        <v>F-WD3-01|F-BAKPK-03|F-BAKPK-04</v>
      </c>
      <c r="L139" s="7" t="str">
        <f>IFERROR(__xludf.DUMMYFUNCTION("IF(E139="""","""",TEXTJOIN(""|"",TRUE,UNIQUE(FILTER('29_FUNCTION_STANDARD_MAP'!B$2:B$43,ISNUMBER(SEARCH(""|""&amp;E139&amp;""|"",""|""&amp;'29_FUNCTION_STANDARD_MAP'!E$2:E$43&amp;""|""))))))"),"WADIR3|BAG_AKPK")</f>
        <v>WADIR3|BAG_AKPK</v>
      </c>
      <c r="M139" s="7" t="s">
        <v>1371</v>
      </c>
      <c r="N139" s="7" t="s">
        <v>2329</v>
      </c>
      <c r="O139" s="7" t="s">
        <v>1465</v>
      </c>
      <c r="P139" s="7">
        <v>2.0</v>
      </c>
      <c r="Q139" s="7" t="b">
        <v>1</v>
      </c>
      <c r="R139" s="7" t="s">
        <v>3558</v>
      </c>
      <c r="S139" s="7" t="s">
        <v>329</v>
      </c>
      <c r="T139" s="7" t="s">
        <v>4093</v>
      </c>
    </row>
    <row r="140">
      <c r="A140" s="7" t="s">
        <v>2633</v>
      </c>
      <c r="B140" s="7" t="s">
        <v>2634</v>
      </c>
      <c r="C140" s="7" t="s">
        <v>2608</v>
      </c>
      <c r="D140" s="7" t="s">
        <v>2635</v>
      </c>
      <c r="E140" s="7" t="s">
        <v>3729</v>
      </c>
      <c r="F140" s="7" t="s">
        <v>3730</v>
      </c>
      <c r="G140" s="7" t="s">
        <v>4039</v>
      </c>
      <c r="H140" s="7" t="s">
        <v>3731</v>
      </c>
      <c r="I140" s="7" t="s">
        <v>4040</v>
      </c>
      <c r="J140" s="7" t="s">
        <v>2528</v>
      </c>
      <c r="K140" s="7" t="str">
        <f>IFERROR(__xludf.DUMMYFUNCTION("IF(E140="""","""",TEXTJOIN(""|"",TRUE,FILTER('29_FUNCTION_STANDARD_MAP'!A$2:A$43,ISNUMBER(SEARCH(""|""&amp;E140&amp;""|"",""|""&amp;'29_FUNCTION_STANDARD_MAP'!E$2:E$43&amp;""|"")))))"),"F-WD3-01|F-BAKPK-03|F-BAKPK-04")</f>
        <v>F-WD3-01|F-BAKPK-03|F-BAKPK-04</v>
      </c>
      <c r="L140" s="7" t="str">
        <f>IFERROR(__xludf.DUMMYFUNCTION("IF(E140="""","""",TEXTJOIN(""|"",TRUE,UNIQUE(FILTER('29_FUNCTION_STANDARD_MAP'!B$2:B$43,ISNUMBER(SEARCH(""|""&amp;E140&amp;""|"",""|""&amp;'29_FUNCTION_STANDARD_MAP'!E$2:E$43&amp;""|""))))))"),"WADIR3|BAG_AKPK")</f>
        <v>WADIR3|BAG_AKPK</v>
      </c>
      <c r="M140" s="7" t="s">
        <v>1371</v>
      </c>
      <c r="N140" s="7" t="s">
        <v>2636</v>
      </c>
      <c r="O140" s="7" t="s">
        <v>1465</v>
      </c>
      <c r="P140" s="7">
        <v>2.0</v>
      </c>
      <c r="Q140" s="7" t="b">
        <v>1</v>
      </c>
      <c r="R140" s="7" t="s">
        <v>3558</v>
      </c>
      <c r="S140" s="7" t="s">
        <v>329</v>
      </c>
      <c r="T140" s="7" t="s">
        <v>4093</v>
      </c>
    </row>
    <row r="141">
      <c r="A141" s="7" t="s">
        <v>2637</v>
      </c>
      <c r="B141" s="7" t="s">
        <v>2638</v>
      </c>
      <c r="C141" s="7" t="s">
        <v>2608</v>
      </c>
      <c r="D141" s="7" t="s">
        <v>2639</v>
      </c>
      <c r="E141" s="7" t="s">
        <v>3729</v>
      </c>
      <c r="F141" s="7" t="s">
        <v>3730</v>
      </c>
      <c r="G141" s="7" t="s">
        <v>4039</v>
      </c>
      <c r="H141" s="7" t="s">
        <v>3731</v>
      </c>
      <c r="I141" s="7" t="s">
        <v>4040</v>
      </c>
      <c r="J141" s="7">
        <v>8.6</v>
      </c>
      <c r="K141" s="7" t="str">
        <f>IFERROR(__xludf.DUMMYFUNCTION("IF(E141="""","""",TEXTJOIN(""|"",TRUE,FILTER('29_FUNCTION_STANDARD_MAP'!A$2:A$43,ISNUMBER(SEARCH(""|""&amp;E141&amp;""|"",""|""&amp;'29_FUNCTION_STANDARD_MAP'!E$2:E$43&amp;""|"")))))"),"F-WD3-01|F-BAKPK-03|F-BAKPK-04")</f>
        <v>F-WD3-01|F-BAKPK-03|F-BAKPK-04</v>
      </c>
      <c r="L141" s="7" t="str">
        <f>IFERROR(__xludf.DUMMYFUNCTION("IF(E141="""","""",TEXTJOIN(""|"",TRUE,UNIQUE(FILTER('29_FUNCTION_STANDARD_MAP'!B$2:B$43,ISNUMBER(SEARCH(""|""&amp;E141&amp;""|"",""|""&amp;'29_FUNCTION_STANDARD_MAP'!E$2:E$43&amp;""|""))))))"),"WADIR3|BAG_AKPK")</f>
        <v>WADIR3|BAG_AKPK</v>
      </c>
      <c r="M141" s="7" t="s">
        <v>1371</v>
      </c>
      <c r="N141" s="7" t="s">
        <v>2640</v>
      </c>
      <c r="O141" s="7" t="s">
        <v>1465</v>
      </c>
      <c r="P141" s="7">
        <v>2.0</v>
      </c>
      <c r="Q141" s="7" t="b">
        <v>1</v>
      </c>
      <c r="R141" s="7" t="s">
        <v>3558</v>
      </c>
      <c r="S141" s="7" t="s">
        <v>329</v>
      </c>
      <c r="T141" s="7" t="s">
        <v>4093</v>
      </c>
    </row>
    <row r="142">
      <c r="A142" s="7" t="s">
        <v>2641</v>
      </c>
      <c r="B142" s="7" t="s">
        <v>2642</v>
      </c>
      <c r="C142" s="7" t="s">
        <v>2608</v>
      </c>
      <c r="D142" s="7" t="s">
        <v>2643</v>
      </c>
      <c r="E142" s="7" t="s">
        <v>3729</v>
      </c>
      <c r="F142" s="7" t="s">
        <v>3730</v>
      </c>
      <c r="G142" s="7" t="s">
        <v>4039</v>
      </c>
      <c r="H142" s="7" t="s">
        <v>3731</v>
      </c>
      <c r="I142" s="7" t="s">
        <v>4040</v>
      </c>
      <c r="J142" s="7" t="s">
        <v>2464</v>
      </c>
      <c r="K142" s="7" t="str">
        <f>IFERROR(__xludf.DUMMYFUNCTION("IF(E142="""","""",TEXTJOIN(""|"",TRUE,FILTER('29_FUNCTION_STANDARD_MAP'!A$2:A$43,ISNUMBER(SEARCH(""|""&amp;E142&amp;""|"",""|""&amp;'29_FUNCTION_STANDARD_MAP'!E$2:E$43&amp;""|"")))))"),"F-WD3-01|F-BAKPK-03|F-BAKPK-04")</f>
        <v>F-WD3-01|F-BAKPK-03|F-BAKPK-04</v>
      </c>
      <c r="L142" s="7" t="str">
        <f>IFERROR(__xludf.DUMMYFUNCTION("IF(E142="""","""",TEXTJOIN(""|"",TRUE,UNIQUE(FILTER('29_FUNCTION_STANDARD_MAP'!B$2:B$43,ISNUMBER(SEARCH(""|""&amp;E142&amp;""|"",""|""&amp;'29_FUNCTION_STANDARD_MAP'!E$2:E$43&amp;""|""))))))"),"WADIR3|BAG_AKPK")</f>
        <v>WADIR3|BAG_AKPK</v>
      </c>
      <c r="M142" s="7" t="s">
        <v>1371</v>
      </c>
      <c r="N142" s="7" t="s">
        <v>2644</v>
      </c>
      <c r="O142" s="7" t="s">
        <v>1465</v>
      </c>
      <c r="P142" s="7">
        <v>2.0</v>
      </c>
      <c r="Q142" s="7" t="b">
        <v>1</v>
      </c>
      <c r="R142" s="7" t="s">
        <v>3558</v>
      </c>
      <c r="S142" s="7" t="s">
        <v>329</v>
      </c>
      <c r="T142" s="7" t="s">
        <v>4093</v>
      </c>
    </row>
    <row r="143">
      <c r="A143" s="7" t="s">
        <v>2645</v>
      </c>
      <c r="B143" s="7" t="s">
        <v>2646</v>
      </c>
      <c r="C143" s="7" t="s">
        <v>2608</v>
      </c>
      <c r="D143" s="7" t="s">
        <v>2647</v>
      </c>
      <c r="E143" s="7" t="s">
        <v>3729</v>
      </c>
      <c r="F143" s="7" t="s">
        <v>3730</v>
      </c>
      <c r="G143" s="7" t="s">
        <v>4039</v>
      </c>
      <c r="H143" s="7" t="s">
        <v>3731</v>
      </c>
      <c r="I143" s="7" t="s">
        <v>4040</v>
      </c>
      <c r="J143" s="7" t="s">
        <v>2044</v>
      </c>
      <c r="K143" s="7" t="str">
        <f>IFERROR(__xludf.DUMMYFUNCTION("IF(E143="""","""",TEXTJOIN(""|"",TRUE,FILTER('29_FUNCTION_STANDARD_MAP'!A$2:A$43,ISNUMBER(SEARCH(""|""&amp;E143&amp;""|"",""|""&amp;'29_FUNCTION_STANDARD_MAP'!E$2:E$43&amp;""|"")))))"),"F-WD3-01|F-BAKPK-03|F-BAKPK-04")</f>
        <v>F-WD3-01|F-BAKPK-03|F-BAKPK-04</v>
      </c>
      <c r="L143" s="7" t="str">
        <f>IFERROR(__xludf.DUMMYFUNCTION("IF(E143="""","""",TEXTJOIN(""|"",TRUE,UNIQUE(FILTER('29_FUNCTION_STANDARD_MAP'!B$2:B$43,ISNUMBER(SEARCH(""|""&amp;E143&amp;""|"",""|""&amp;'29_FUNCTION_STANDARD_MAP'!E$2:E$43&amp;""|""))))))"),"WADIR3|BAG_AKPK")</f>
        <v>WADIR3|BAG_AKPK</v>
      </c>
      <c r="M143" s="7" t="s">
        <v>1371</v>
      </c>
      <c r="N143" s="7" t="s">
        <v>2648</v>
      </c>
      <c r="O143" s="7" t="s">
        <v>1465</v>
      </c>
      <c r="P143" s="7">
        <v>2.0</v>
      </c>
      <c r="Q143" s="7" t="b">
        <v>1</v>
      </c>
      <c r="R143" s="7" t="s">
        <v>3558</v>
      </c>
      <c r="S143" s="7" t="s">
        <v>329</v>
      </c>
      <c r="T143" s="7" t="s">
        <v>4093</v>
      </c>
    </row>
    <row r="144">
      <c r="A144" s="7" t="s">
        <v>2649</v>
      </c>
      <c r="B144" s="7" t="s">
        <v>2650</v>
      </c>
      <c r="C144" s="7" t="s">
        <v>2608</v>
      </c>
      <c r="D144" s="7" t="s">
        <v>2651</v>
      </c>
      <c r="E144" s="7" t="s">
        <v>3729</v>
      </c>
      <c r="F144" s="7" t="s">
        <v>3730</v>
      </c>
      <c r="G144" s="7" t="s">
        <v>4039</v>
      </c>
      <c r="H144" s="7" t="s">
        <v>3731</v>
      </c>
      <c r="I144" s="7" t="s">
        <v>4040</v>
      </c>
      <c r="J144" s="7" t="s">
        <v>2652</v>
      </c>
      <c r="K144" s="7" t="str">
        <f>IFERROR(__xludf.DUMMYFUNCTION("IF(E144="""","""",TEXTJOIN(""|"",TRUE,FILTER('29_FUNCTION_STANDARD_MAP'!A$2:A$43,ISNUMBER(SEARCH(""|""&amp;E144&amp;""|"",""|""&amp;'29_FUNCTION_STANDARD_MAP'!E$2:E$43&amp;""|"")))))"),"F-WD3-01|F-BAKPK-03|F-BAKPK-04")</f>
        <v>F-WD3-01|F-BAKPK-03|F-BAKPK-04</v>
      </c>
      <c r="L144" s="7" t="str">
        <f>IFERROR(__xludf.DUMMYFUNCTION("IF(E144="""","""",TEXTJOIN(""|"",TRUE,UNIQUE(FILTER('29_FUNCTION_STANDARD_MAP'!B$2:B$43,ISNUMBER(SEARCH(""|""&amp;E144&amp;""|"",""|""&amp;'29_FUNCTION_STANDARD_MAP'!E$2:E$43&amp;""|""))))))"),"WADIR3|BAG_AKPK")</f>
        <v>WADIR3|BAG_AKPK</v>
      </c>
      <c r="M144" s="7" t="s">
        <v>1371</v>
      </c>
      <c r="N144" s="7" t="s">
        <v>2653</v>
      </c>
      <c r="O144" s="7" t="s">
        <v>1465</v>
      </c>
      <c r="P144" s="7">
        <v>2.0</v>
      </c>
      <c r="Q144" s="7" t="b">
        <v>1</v>
      </c>
      <c r="R144" s="7" t="s">
        <v>3558</v>
      </c>
      <c r="S144" s="7" t="s">
        <v>329</v>
      </c>
      <c r="T144" s="7" t="s">
        <v>4093</v>
      </c>
    </row>
    <row r="145">
      <c r="A145" s="7" t="s">
        <v>2654</v>
      </c>
      <c r="B145" s="7" t="s">
        <v>2655</v>
      </c>
      <c r="C145" s="7" t="s">
        <v>2608</v>
      </c>
      <c r="D145" s="7" t="s">
        <v>2656</v>
      </c>
      <c r="E145" s="7" t="s">
        <v>3729</v>
      </c>
      <c r="F145" s="7" t="s">
        <v>3730</v>
      </c>
      <c r="G145" s="7" t="s">
        <v>4039</v>
      </c>
      <c r="H145" s="7" t="s">
        <v>3731</v>
      </c>
      <c r="I145" s="7" t="s">
        <v>4040</v>
      </c>
      <c r="J145" s="7">
        <v>8.6</v>
      </c>
      <c r="K145" s="7" t="str">
        <f>IFERROR(__xludf.DUMMYFUNCTION("IF(E145="""","""",TEXTJOIN(""|"",TRUE,FILTER('29_FUNCTION_STANDARD_MAP'!A$2:A$43,ISNUMBER(SEARCH(""|""&amp;E145&amp;""|"",""|""&amp;'29_FUNCTION_STANDARD_MAP'!E$2:E$43&amp;""|"")))))"),"F-WD3-01|F-BAKPK-03|F-BAKPK-04")</f>
        <v>F-WD3-01|F-BAKPK-03|F-BAKPK-04</v>
      </c>
      <c r="L145" s="7" t="str">
        <f>IFERROR(__xludf.DUMMYFUNCTION("IF(E145="""","""",TEXTJOIN(""|"",TRUE,UNIQUE(FILTER('29_FUNCTION_STANDARD_MAP'!B$2:B$43,ISNUMBER(SEARCH(""|""&amp;E145&amp;""|"",""|""&amp;'29_FUNCTION_STANDARD_MAP'!E$2:E$43&amp;""|""))))))"),"WADIR3|BAG_AKPK")</f>
        <v>WADIR3|BAG_AKPK</v>
      </c>
      <c r="M145" s="7" t="s">
        <v>1371</v>
      </c>
      <c r="N145" s="7" t="s">
        <v>2657</v>
      </c>
      <c r="O145" s="7" t="s">
        <v>1465</v>
      </c>
      <c r="P145" s="7">
        <v>2.0</v>
      </c>
      <c r="Q145" s="7" t="b">
        <v>1</v>
      </c>
      <c r="R145" s="7" t="s">
        <v>3558</v>
      </c>
      <c r="S145" s="7" t="s">
        <v>329</v>
      </c>
      <c r="T145" s="7" t="s">
        <v>4093</v>
      </c>
    </row>
    <row r="146">
      <c r="A146" s="7" t="s">
        <v>2658</v>
      </c>
      <c r="B146" s="7" t="s">
        <v>2659</v>
      </c>
      <c r="C146" s="7" t="s">
        <v>2660</v>
      </c>
      <c r="D146" s="7" t="s">
        <v>2661</v>
      </c>
      <c r="E146" s="7" t="s">
        <v>3744</v>
      </c>
      <c r="F146" s="7" t="s">
        <v>3745</v>
      </c>
      <c r="G146" s="7" t="s">
        <v>4044</v>
      </c>
      <c r="H146" s="7" t="s">
        <v>3746</v>
      </c>
      <c r="I146" s="7" t="s">
        <v>4045</v>
      </c>
      <c r="J146" s="7" t="s">
        <v>1659</v>
      </c>
      <c r="K146" s="7" t="str">
        <f>IFERROR(__xludf.DUMMYFUNCTION("IF(E146="""","""",TEXTJOIN(""|"",TRUE,FILTER('29_FUNCTION_STANDARD_MAP'!A$2:A$43,ISNUMBER(SEARCH(""|""&amp;E146&amp;""|"",""|""&amp;'29_FUNCTION_STANDARD_MAP'!E$2:E$43&amp;""|"")))))"),"F-UPTI-01|F-UPTI-02")</f>
        <v>F-UPTI-01|F-UPTI-02</v>
      </c>
      <c r="L146" s="7" t="str">
        <f>IFERROR(__xludf.DUMMYFUNCTION("IF(E146="""","""",TEXTJOIN(""|"",TRUE,UNIQUE(FILTER('29_FUNCTION_STANDARD_MAP'!B$2:B$43,ISNUMBER(SEARCH(""|""&amp;E146&amp;""|"",""|""&amp;'29_FUNCTION_STANDARD_MAP'!E$2:E$43&amp;""|""))))))"),"UPA_TI")</f>
        <v>UPA_TI</v>
      </c>
      <c r="M146" s="7" t="s">
        <v>1398</v>
      </c>
      <c r="N146" s="7" t="s">
        <v>2662</v>
      </c>
      <c r="O146" s="7" t="s">
        <v>1452</v>
      </c>
      <c r="P146" s="7">
        <v>3.0</v>
      </c>
      <c r="Q146" s="7" t="b">
        <v>1</v>
      </c>
      <c r="R146" s="7" t="s">
        <v>3558</v>
      </c>
      <c r="S146" s="7" t="s">
        <v>329</v>
      </c>
      <c r="T146" s="7" t="s">
        <v>4093</v>
      </c>
    </row>
    <row r="147">
      <c r="A147" s="7" t="s">
        <v>2663</v>
      </c>
      <c r="B147" s="7" t="s">
        <v>2664</v>
      </c>
      <c r="C147" s="7" t="s">
        <v>2660</v>
      </c>
      <c r="D147" s="7" t="s">
        <v>2665</v>
      </c>
      <c r="E147" s="7" t="s">
        <v>3744</v>
      </c>
      <c r="F147" s="7" t="s">
        <v>3745</v>
      </c>
      <c r="G147" s="7" t="s">
        <v>4044</v>
      </c>
      <c r="H147" s="7" t="s">
        <v>3746</v>
      </c>
      <c r="I147" s="7" t="s">
        <v>4045</v>
      </c>
      <c r="J147" s="7">
        <v>8.3</v>
      </c>
      <c r="K147" s="7" t="str">
        <f>IFERROR(__xludf.DUMMYFUNCTION("IF(E147="""","""",TEXTJOIN(""|"",TRUE,FILTER('29_FUNCTION_STANDARD_MAP'!A$2:A$43,ISNUMBER(SEARCH(""|""&amp;E147&amp;""|"",""|""&amp;'29_FUNCTION_STANDARD_MAP'!E$2:E$43&amp;""|"")))))"),"F-UPTI-01|F-UPTI-02")</f>
        <v>F-UPTI-01|F-UPTI-02</v>
      </c>
      <c r="L147" s="7" t="str">
        <f>IFERROR(__xludf.DUMMYFUNCTION("IF(E147="""","""",TEXTJOIN(""|"",TRUE,UNIQUE(FILTER('29_FUNCTION_STANDARD_MAP'!B$2:B$43,ISNUMBER(SEARCH(""|""&amp;E147&amp;""|"",""|""&amp;'29_FUNCTION_STANDARD_MAP'!E$2:E$43&amp;""|""))))))"),"UPA_TI")</f>
        <v>UPA_TI</v>
      </c>
      <c r="M147" s="7" t="s">
        <v>1398</v>
      </c>
      <c r="N147" s="7" t="s">
        <v>2666</v>
      </c>
      <c r="O147" s="7" t="s">
        <v>1452</v>
      </c>
      <c r="P147" s="7">
        <v>3.0</v>
      </c>
      <c r="Q147" s="7" t="b">
        <v>1</v>
      </c>
      <c r="R147" s="7" t="s">
        <v>3558</v>
      </c>
      <c r="S147" s="7" t="s">
        <v>329</v>
      </c>
      <c r="T147" s="7" t="s">
        <v>4093</v>
      </c>
    </row>
    <row r="148">
      <c r="A148" s="7" t="s">
        <v>2667</v>
      </c>
      <c r="B148" s="7" t="s">
        <v>2668</v>
      </c>
      <c r="C148" s="7" t="s">
        <v>2660</v>
      </c>
      <c r="D148" s="7" t="s">
        <v>2669</v>
      </c>
      <c r="E148" s="7" t="s">
        <v>3744</v>
      </c>
      <c r="F148" s="7" t="s">
        <v>3745</v>
      </c>
      <c r="G148" s="7" t="s">
        <v>4044</v>
      </c>
      <c r="H148" s="7" t="s">
        <v>3746</v>
      </c>
      <c r="I148" s="7" t="s">
        <v>4045</v>
      </c>
      <c r="J148" s="7" t="s">
        <v>2670</v>
      </c>
      <c r="K148" s="7" t="str">
        <f>IFERROR(__xludf.DUMMYFUNCTION("IF(E148="""","""",TEXTJOIN(""|"",TRUE,FILTER('29_FUNCTION_STANDARD_MAP'!A$2:A$43,ISNUMBER(SEARCH(""|""&amp;E148&amp;""|"",""|""&amp;'29_FUNCTION_STANDARD_MAP'!E$2:E$43&amp;""|"")))))"),"F-UPTI-01|F-UPTI-02")</f>
        <v>F-UPTI-01|F-UPTI-02</v>
      </c>
      <c r="L148" s="7" t="str">
        <f>IFERROR(__xludf.DUMMYFUNCTION("IF(E148="""","""",TEXTJOIN(""|"",TRUE,UNIQUE(FILTER('29_FUNCTION_STANDARD_MAP'!B$2:B$43,ISNUMBER(SEARCH(""|""&amp;E148&amp;""|"",""|""&amp;'29_FUNCTION_STANDARD_MAP'!E$2:E$43&amp;""|""))))))"),"UPA_TI")</f>
        <v>UPA_TI</v>
      </c>
      <c r="M148" s="7" t="s">
        <v>1398</v>
      </c>
      <c r="N148" s="7" t="s">
        <v>2671</v>
      </c>
      <c r="O148" s="7" t="s">
        <v>1452</v>
      </c>
      <c r="P148" s="7">
        <v>3.0</v>
      </c>
      <c r="Q148" s="7" t="b">
        <v>1</v>
      </c>
      <c r="R148" s="7" t="s">
        <v>3558</v>
      </c>
      <c r="S148" s="7" t="s">
        <v>329</v>
      </c>
      <c r="T148" s="7" t="s">
        <v>4093</v>
      </c>
    </row>
    <row r="149">
      <c r="A149" s="7" t="s">
        <v>2672</v>
      </c>
      <c r="B149" s="7" t="s">
        <v>2673</v>
      </c>
      <c r="C149" s="7" t="s">
        <v>2660</v>
      </c>
      <c r="D149" s="7" t="s">
        <v>2674</v>
      </c>
      <c r="E149" s="7" t="s">
        <v>3744</v>
      </c>
      <c r="F149" s="7" t="s">
        <v>3745</v>
      </c>
      <c r="G149" s="7" t="s">
        <v>4044</v>
      </c>
      <c r="H149" s="7" t="s">
        <v>3746</v>
      </c>
      <c r="I149" s="7" t="s">
        <v>4045</v>
      </c>
      <c r="J149" s="7" t="s">
        <v>2675</v>
      </c>
      <c r="K149" s="7" t="str">
        <f>IFERROR(__xludf.DUMMYFUNCTION("IF(E149="""","""",TEXTJOIN(""|"",TRUE,FILTER('29_FUNCTION_STANDARD_MAP'!A$2:A$43,ISNUMBER(SEARCH(""|""&amp;E149&amp;""|"",""|""&amp;'29_FUNCTION_STANDARD_MAP'!E$2:E$43&amp;""|"")))))"),"F-UPTI-01|F-UPTI-02")</f>
        <v>F-UPTI-01|F-UPTI-02</v>
      </c>
      <c r="L149" s="7" t="str">
        <f>IFERROR(__xludf.DUMMYFUNCTION("IF(E149="""","""",TEXTJOIN(""|"",TRUE,UNIQUE(FILTER('29_FUNCTION_STANDARD_MAP'!B$2:B$43,ISNUMBER(SEARCH(""|""&amp;E149&amp;""|"",""|""&amp;'29_FUNCTION_STANDARD_MAP'!E$2:E$43&amp;""|""))))))"),"UPA_TI")</f>
        <v>UPA_TI</v>
      </c>
      <c r="M149" s="7" t="s">
        <v>1398</v>
      </c>
      <c r="N149" s="7" t="s">
        <v>2408</v>
      </c>
      <c r="O149" s="7" t="s">
        <v>1452</v>
      </c>
      <c r="P149" s="7">
        <v>3.0</v>
      </c>
      <c r="Q149" s="7" t="b">
        <v>1</v>
      </c>
      <c r="R149" s="7" t="s">
        <v>3558</v>
      </c>
      <c r="S149" s="7" t="s">
        <v>329</v>
      </c>
      <c r="T149" s="7" t="s">
        <v>4093</v>
      </c>
    </row>
    <row r="150">
      <c r="A150" s="7" t="s">
        <v>2676</v>
      </c>
      <c r="B150" s="7" t="s">
        <v>2677</v>
      </c>
      <c r="C150" s="7" t="s">
        <v>2660</v>
      </c>
      <c r="D150" s="7" t="s">
        <v>2678</v>
      </c>
      <c r="E150" s="7" t="s">
        <v>3744</v>
      </c>
      <c r="F150" s="7" t="s">
        <v>3745</v>
      </c>
      <c r="G150" s="7" t="s">
        <v>4044</v>
      </c>
      <c r="H150" s="7" t="s">
        <v>3746</v>
      </c>
      <c r="I150" s="7" t="s">
        <v>4045</v>
      </c>
      <c r="J150" s="7" t="s">
        <v>1701</v>
      </c>
      <c r="K150" s="7" t="str">
        <f>IFERROR(__xludf.DUMMYFUNCTION("IF(E150="""","""",TEXTJOIN(""|"",TRUE,FILTER('29_FUNCTION_STANDARD_MAP'!A$2:A$43,ISNUMBER(SEARCH(""|""&amp;E150&amp;""|"",""|""&amp;'29_FUNCTION_STANDARD_MAP'!E$2:E$43&amp;""|"")))))"),"F-UPTI-01|F-UPTI-02")</f>
        <v>F-UPTI-01|F-UPTI-02</v>
      </c>
      <c r="L150" s="7" t="str">
        <f>IFERROR(__xludf.DUMMYFUNCTION("IF(E150="""","""",TEXTJOIN(""|"",TRUE,UNIQUE(FILTER('29_FUNCTION_STANDARD_MAP'!B$2:B$43,ISNUMBER(SEARCH(""|""&amp;E150&amp;""|"",""|""&amp;'29_FUNCTION_STANDARD_MAP'!E$2:E$43&amp;""|""))))))"),"UPA_TI")</f>
        <v>UPA_TI</v>
      </c>
      <c r="M150" s="7" t="s">
        <v>1398</v>
      </c>
      <c r="N150" s="7" t="s">
        <v>2679</v>
      </c>
      <c r="O150" s="7" t="s">
        <v>1452</v>
      </c>
      <c r="P150" s="7">
        <v>3.0</v>
      </c>
      <c r="Q150" s="7" t="b">
        <v>1</v>
      </c>
      <c r="R150" s="7" t="s">
        <v>3558</v>
      </c>
      <c r="S150" s="7" t="s">
        <v>329</v>
      </c>
      <c r="T150" s="7" t="s">
        <v>4093</v>
      </c>
    </row>
    <row r="151">
      <c r="A151" s="7" t="s">
        <v>2680</v>
      </c>
      <c r="B151" s="7" t="s">
        <v>2681</v>
      </c>
      <c r="C151" s="7" t="s">
        <v>2660</v>
      </c>
      <c r="D151" s="7" t="s">
        <v>2682</v>
      </c>
      <c r="E151" s="7" t="s">
        <v>3744</v>
      </c>
      <c r="F151" s="7" t="s">
        <v>3745</v>
      </c>
      <c r="G151" s="7" t="s">
        <v>4044</v>
      </c>
      <c r="H151" s="7" t="s">
        <v>3746</v>
      </c>
      <c r="I151" s="7" t="s">
        <v>4045</v>
      </c>
      <c r="J151" s="7" t="s">
        <v>2683</v>
      </c>
      <c r="K151" s="7" t="str">
        <f>IFERROR(__xludf.DUMMYFUNCTION("IF(E151="""","""",TEXTJOIN(""|"",TRUE,FILTER('29_FUNCTION_STANDARD_MAP'!A$2:A$43,ISNUMBER(SEARCH(""|""&amp;E151&amp;""|"",""|""&amp;'29_FUNCTION_STANDARD_MAP'!E$2:E$43&amp;""|"")))))"),"F-UPTI-01|F-UPTI-02")</f>
        <v>F-UPTI-01|F-UPTI-02</v>
      </c>
      <c r="L151" s="7" t="str">
        <f>IFERROR(__xludf.DUMMYFUNCTION("IF(E151="""","""",TEXTJOIN(""|"",TRUE,UNIQUE(FILTER('29_FUNCTION_STANDARD_MAP'!B$2:B$43,ISNUMBER(SEARCH(""|""&amp;E151&amp;""|"",""|""&amp;'29_FUNCTION_STANDARD_MAP'!E$2:E$43&amp;""|""))))))"),"UPA_TI")</f>
        <v>UPA_TI</v>
      </c>
      <c r="M151" s="7" t="s">
        <v>1398</v>
      </c>
      <c r="N151" s="7" t="s">
        <v>2684</v>
      </c>
      <c r="O151" s="7" t="s">
        <v>1452</v>
      </c>
      <c r="P151" s="7">
        <v>3.0</v>
      </c>
      <c r="Q151" s="7" t="b">
        <v>1</v>
      </c>
      <c r="R151" s="7" t="s">
        <v>3558</v>
      </c>
      <c r="S151" s="7" t="s">
        <v>329</v>
      </c>
      <c r="T151" s="7" t="s">
        <v>4093</v>
      </c>
    </row>
    <row r="152">
      <c r="A152" s="7" t="s">
        <v>2685</v>
      </c>
      <c r="B152" s="7" t="s">
        <v>2686</v>
      </c>
      <c r="C152" s="7" t="s">
        <v>2660</v>
      </c>
      <c r="D152" s="7" t="s">
        <v>2687</v>
      </c>
      <c r="E152" s="7" t="s">
        <v>3744</v>
      </c>
      <c r="F152" s="7" t="s">
        <v>3745</v>
      </c>
      <c r="G152" s="7" t="s">
        <v>4044</v>
      </c>
      <c r="H152" s="7" t="s">
        <v>3746</v>
      </c>
      <c r="I152" s="7" t="s">
        <v>4045</v>
      </c>
      <c r="J152" s="7" t="s">
        <v>2051</v>
      </c>
      <c r="K152" s="7" t="str">
        <f>IFERROR(__xludf.DUMMYFUNCTION("IF(E152="""","""",TEXTJOIN(""|"",TRUE,FILTER('29_FUNCTION_STANDARD_MAP'!A$2:A$43,ISNUMBER(SEARCH(""|""&amp;E152&amp;""|"",""|""&amp;'29_FUNCTION_STANDARD_MAP'!E$2:E$43&amp;""|"")))))"),"F-UPTI-01|F-UPTI-02")</f>
        <v>F-UPTI-01|F-UPTI-02</v>
      </c>
      <c r="L152" s="7" t="str">
        <f>IFERROR(__xludf.DUMMYFUNCTION("IF(E152="""","""",TEXTJOIN(""|"",TRUE,UNIQUE(FILTER('29_FUNCTION_STANDARD_MAP'!B$2:B$43,ISNUMBER(SEARCH(""|""&amp;E152&amp;""|"",""|""&amp;'29_FUNCTION_STANDARD_MAP'!E$2:E$43&amp;""|""))))))"),"UPA_TI")</f>
        <v>UPA_TI</v>
      </c>
      <c r="M152" s="7" t="s">
        <v>1398</v>
      </c>
      <c r="N152" s="7" t="s">
        <v>2688</v>
      </c>
      <c r="O152" s="7" t="s">
        <v>1452</v>
      </c>
      <c r="P152" s="7">
        <v>3.0</v>
      </c>
      <c r="Q152" s="7" t="b">
        <v>1</v>
      </c>
      <c r="R152" s="7" t="s">
        <v>3558</v>
      </c>
      <c r="S152" s="7" t="s">
        <v>329</v>
      </c>
      <c r="T152" s="7" t="s">
        <v>4093</v>
      </c>
    </row>
    <row r="153">
      <c r="A153" s="7" t="s">
        <v>2689</v>
      </c>
      <c r="B153" s="7" t="s">
        <v>2690</v>
      </c>
      <c r="C153" s="7" t="s">
        <v>2660</v>
      </c>
      <c r="D153" s="7" t="s">
        <v>2691</v>
      </c>
      <c r="E153" s="7" t="s">
        <v>3744</v>
      </c>
      <c r="F153" s="7" t="s">
        <v>3745</v>
      </c>
      <c r="G153" s="7" t="s">
        <v>4044</v>
      </c>
      <c r="H153" s="7" t="s">
        <v>3746</v>
      </c>
      <c r="I153" s="7" t="s">
        <v>4045</v>
      </c>
      <c r="J153" s="7" t="s">
        <v>2528</v>
      </c>
      <c r="K153" s="7" t="str">
        <f>IFERROR(__xludf.DUMMYFUNCTION("IF(E153="""","""",TEXTJOIN(""|"",TRUE,FILTER('29_FUNCTION_STANDARD_MAP'!A$2:A$43,ISNUMBER(SEARCH(""|""&amp;E153&amp;""|"",""|""&amp;'29_FUNCTION_STANDARD_MAP'!E$2:E$43&amp;""|"")))))"),"F-UPTI-01|F-UPTI-02")</f>
        <v>F-UPTI-01|F-UPTI-02</v>
      </c>
      <c r="L153" s="7" t="str">
        <f>IFERROR(__xludf.DUMMYFUNCTION("IF(E153="""","""",TEXTJOIN(""|"",TRUE,UNIQUE(FILTER('29_FUNCTION_STANDARD_MAP'!B$2:B$43,ISNUMBER(SEARCH(""|""&amp;E153&amp;""|"",""|""&amp;'29_FUNCTION_STANDARD_MAP'!E$2:E$43&amp;""|""))))))"),"UPA_TI")</f>
        <v>UPA_TI</v>
      </c>
      <c r="M153" s="7" t="s">
        <v>1398</v>
      </c>
      <c r="N153" s="7" t="s">
        <v>2692</v>
      </c>
      <c r="O153" s="7" t="s">
        <v>1452</v>
      </c>
      <c r="P153" s="7">
        <v>3.0</v>
      </c>
      <c r="Q153" s="7" t="b">
        <v>1</v>
      </c>
      <c r="R153" s="7" t="s">
        <v>3558</v>
      </c>
      <c r="S153" s="7" t="s">
        <v>329</v>
      </c>
      <c r="T153" s="7" t="s">
        <v>4093</v>
      </c>
    </row>
    <row r="154">
      <c r="A154" s="7" t="s">
        <v>2693</v>
      </c>
      <c r="B154" s="7" t="s">
        <v>2694</v>
      </c>
      <c r="C154" s="7" t="s">
        <v>2660</v>
      </c>
      <c r="D154" s="7" t="s">
        <v>2695</v>
      </c>
      <c r="E154" s="7" t="s">
        <v>3744</v>
      </c>
      <c r="F154" s="7" t="s">
        <v>3745</v>
      </c>
      <c r="G154" s="7" t="s">
        <v>4044</v>
      </c>
      <c r="H154" s="7" t="s">
        <v>3746</v>
      </c>
      <c r="I154" s="7" t="s">
        <v>4045</v>
      </c>
      <c r="J154" s="7" t="s">
        <v>2537</v>
      </c>
      <c r="K154" s="7" t="str">
        <f>IFERROR(__xludf.DUMMYFUNCTION("IF(E154="""","""",TEXTJOIN(""|"",TRUE,FILTER('29_FUNCTION_STANDARD_MAP'!A$2:A$43,ISNUMBER(SEARCH(""|""&amp;E154&amp;""|"",""|""&amp;'29_FUNCTION_STANDARD_MAP'!E$2:E$43&amp;""|"")))))"),"F-UPTI-01|F-UPTI-02")</f>
        <v>F-UPTI-01|F-UPTI-02</v>
      </c>
      <c r="L154" s="7" t="str">
        <f>IFERROR(__xludf.DUMMYFUNCTION("IF(E154="""","""",TEXTJOIN(""|"",TRUE,UNIQUE(FILTER('29_FUNCTION_STANDARD_MAP'!B$2:B$43,ISNUMBER(SEARCH(""|""&amp;E154&amp;""|"",""|""&amp;'29_FUNCTION_STANDARD_MAP'!E$2:E$43&amp;""|""))))))"),"UPA_TI")</f>
        <v>UPA_TI</v>
      </c>
      <c r="M154" s="7" t="s">
        <v>1398</v>
      </c>
      <c r="N154" s="7" t="s">
        <v>2696</v>
      </c>
      <c r="O154" s="7" t="s">
        <v>1452</v>
      </c>
      <c r="P154" s="7">
        <v>3.0</v>
      </c>
      <c r="Q154" s="7" t="b">
        <v>1</v>
      </c>
      <c r="R154" s="7" t="s">
        <v>3558</v>
      </c>
      <c r="S154" s="7" t="s">
        <v>329</v>
      </c>
      <c r="T154" s="7" t="s">
        <v>4093</v>
      </c>
    </row>
    <row r="155">
      <c r="A155" s="7" t="s">
        <v>2697</v>
      </c>
      <c r="B155" s="7" t="s">
        <v>2698</v>
      </c>
      <c r="C155" s="7" t="s">
        <v>2660</v>
      </c>
      <c r="D155" s="7" t="s">
        <v>2699</v>
      </c>
      <c r="E155" s="7" t="s">
        <v>3744</v>
      </c>
      <c r="F155" s="7" t="s">
        <v>3745</v>
      </c>
      <c r="G155" s="7" t="s">
        <v>4044</v>
      </c>
      <c r="H155" s="7" t="s">
        <v>3746</v>
      </c>
      <c r="I155" s="7" t="s">
        <v>4045</v>
      </c>
      <c r="J155" s="7" t="s">
        <v>1760</v>
      </c>
      <c r="K155" s="7" t="str">
        <f>IFERROR(__xludf.DUMMYFUNCTION("IF(E155="""","""",TEXTJOIN(""|"",TRUE,FILTER('29_FUNCTION_STANDARD_MAP'!A$2:A$43,ISNUMBER(SEARCH(""|""&amp;E155&amp;""|"",""|""&amp;'29_FUNCTION_STANDARD_MAP'!E$2:E$43&amp;""|"")))))"),"F-UPTI-01|F-UPTI-02")</f>
        <v>F-UPTI-01|F-UPTI-02</v>
      </c>
      <c r="L155" s="7" t="str">
        <f>IFERROR(__xludf.DUMMYFUNCTION("IF(E155="""","""",TEXTJOIN(""|"",TRUE,UNIQUE(FILTER('29_FUNCTION_STANDARD_MAP'!B$2:B$43,ISNUMBER(SEARCH(""|""&amp;E155&amp;""|"",""|""&amp;'29_FUNCTION_STANDARD_MAP'!E$2:E$43&amp;""|""))))))"),"UPA_TI")</f>
        <v>UPA_TI</v>
      </c>
      <c r="M155" s="7" t="s">
        <v>1398</v>
      </c>
      <c r="N155" s="7" t="s">
        <v>2700</v>
      </c>
      <c r="O155" s="7" t="s">
        <v>1452</v>
      </c>
      <c r="P155" s="7">
        <v>3.0</v>
      </c>
      <c r="Q155" s="7" t="b">
        <v>1</v>
      </c>
      <c r="R155" s="7" t="s">
        <v>3558</v>
      </c>
      <c r="S155" s="7" t="s">
        <v>329</v>
      </c>
      <c r="T155" s="7" t="s">
        <v>4093</v>
      </c>
    </row>
    <row r="156">
      <c r="A156" s="7" t="s">
        <v>2701</v>
      </c>
      <c r="B156" s="7" t="s">
        <v>2702</v>
      </c>
      <c r="C156" s="7" t="s">
        <v>2660</v>
      </c>
      <c r="D156" s="7" t="s">
        <v>2703</v>
      </c>
      <c r="E156" s="7" t="s">
        <v>3744</v>
      </c>
      <c r="F156" s="7" t="s">
        <v>3745</v>
      </c>
      <c r="G156" s="7" t="s">
        <v>4044</v>
      </c>
      <c r="H156" s="7" t="s">
        <v>3746</v>
      </c>
      <c r="I156" s="7" t="s">
        <v>4045</v>
      </c>
      <c r="J156" s="7" t="s">
        <v>2704</v>
      </c>
      <c r="K156" s="7" t="str">
        <f>IFERROR(__xludf.DUMMYFUNCTION("IF(E156="""","""",TEXTJOIN(""|"",TRUE,FILTER('29_FUNCTION_STANDARD_MAP'!A$2:A$43,ISNUMBER(SEARCH(""|""&amp;E156&amp;""|"",""|""&amp;'29_FUNCTION_STANDARD_MAP'!E$2:E$43&amp;""|"")))))"),"F-UPTI-01|F-UPTI-02")</f>
        <v>F-UPTI-01|F-UPTI-02</v>
      </c>
      <c r="L156" s="7" t="str">
        <f>IFERROR(__xludf.DUMMYFUNCTION("IF(E156="""","""",TEXTJOIN(""|"",TRUE,UNIQUE(FILTER('29_FUNCTION_STANDARD_MAP'!B$2:B$43,ISNUMBER(SEARCH(""|""&amp;E156&amp;""|"",""|""&amp;'29_FUNCTION_STANDARD_MAP'!E$2:E$43&amp;""|""))))))"),"UPA_TI")</f>
        <v>UPA_TI</v>
      </c>
      <c r="M156" s="7" t="s">
        <v>1398</v>
      </c>
      <c r="N156" s="7" t="s">
        <v>2705</v>
      </c>
      <c r="O156" s="7" t="s">
        <v>1452</v>
      </c>
      <c r="P156" s="7">
        <v>3.0</v>
      </c>
      <c r="Q156" s="7" t="b">
        <v>1</v>
      </c>
      <c r="R156" s="7" t="s">
        <v>3558</v>
      </c>
      <c r="S156" s="7" t="s">
        <v>329</v>
      </c>
      <c r="T156" s="7" t="s">
        <v>4093</v>
      </c>
    </row>
    <row r="157">
      <c r="A157" s="7" t="s">
        <v>2706</v>
      </c>
      <c r="B157" s="7" t="s">
        <v>2707</v>
      </c>
      <c r="C157" s="7" t="s">
        <v>2660</v>
      </c>
      <c r="D157" s="7" t="s">
        <v>2708</v>
      </c>
      <c r="E157" s="7" t="s">
        <v>3744</v>
      </c>
      <c r="F157" s="7" t="s">
        <v>3745</v>
      </c>
      <c r="G157" s="7" t="s">
        <v>4044</v>
      </c>
      <c r="H157" s="7" t="s">
        <v>3746</v>
      </c>
      <c r="I157" s="7" t="s">
        <v>4045</v>
      </c>
      <c r="J157" s="7" t="s">
        <v>2554</v>
      </c>
      <c r="K157" s="7" t="str">
        <f>IFERROR(__xludf.DUMMYFUNCTION("IF(E157="""","""",TEXTJOIN(""|"",TRUE,FILTER('29_FUNCTION_STANDARD_MAP'!A$2:A$43,ISNUMBER(SEARCH(""|""&amp;E157&amp;""|"",""|""&amp;'29_FUNCTION_STANDARD_MAP'!E$2:E$43&amp;""|"")))))"),"F-UPTI-01|F-UPTI-02")</f>
        <v>F-UPTI-01|F-UPTI-02</v>
      </c>
      <c r="L157" s="7" t="str">
        <f>IFERROR(__xludf.DUMMYFUNCTION("IF(E157="""","""",TEXTJOIN(""|"",TRUE,UNIQUE(FILTER('29_FUNCTION_STANDARD_MAP'!B$2:B$43,ISNUMBER(SEARCH(""|""&amp;E157&amp;""|"",""|""&amp;'29_FUNCTION_STANDARD_MAP'!E$2:E$43&amp;""|""))))))"),"UPA_TI")</f>
        <v>UPA_TI</v>
      </c>
      <c r="M157" s="7" t="s">
        <v>1398</v>
      </c>
      <c r="N157" s="7" t="s">
        <v>2709</v>
      </c>
      <c r="O157" s="7" t="s">
        <v>1452</v>
      </c>
      <c r="P157" s="7">
        <v>3.0</v>
      </c>
      <c r="Q157" s="7" t="b">
        <v>1</v>
      </c>
      <c r="R157" s="7" t="s">
        <v>3558</v>
      </c>
      <c r="S157" s="7" t="s">
        <v>329</v>
      </c>
      <c r="T157" s="7" t="s">
        <v>4093</v>
      </c>
    </row>
    <row r="158">
      <c r="A158" s="7" t="s">
        <v>2710</v>
      </c>
      <c r="B158" s="7" t="s">
        <v>2711</v>
      </c>
      <c r="C158" s="7" t="s">
        <v>2660</v>
      </c>
      <c r="D158" s="7" t="s">
        <v>2712</v>
      </c>
      <c r="E158" s="7" t="s">
        <v>3744</v>
      </c>
      <c r="F158" s="7" t="s">
        <v>3745</v>
      </c>
      <c r="G158" s="7" t="s">
        <v>4044</v>
      </c>
      <c r="H158" s="7" t="s">
        <v>3746</v>
      </c>
      <c r="I158" s="7" t="s">
        <v>4045</v>
      </c>
      <c r="J158" s="7">
        <v>8.4</v>
      </c>
      <c r="K158" s="7" t="str">
        <f>IFERROR(__xludf.DUMMYFUNCTION("IF(E158="""","""",TEXTJOIN(""|"",TRUE,FILTER('29_FUNCTION_STANDARD_MAP'!A$2:A$43,ISNUMBER(SEARCH(""|""&amp;E158&amp;""|"",""|""&amp;'29_FUNCTION_STANDARD_MAP'!E$2:E$43&amp;""|"")))))"),"F-UPTI-01|F-UPTI-02")</f>
        <v>F-UPTI-01|F-UPTI-02</v>
      </c>
      <c r="L158" s="7" t="str">
        <f>IFERROR(__xludf.DUMMYFUNCTION("IF(E158="""","""",TEXTJOIN(""|"",TRUE,UNIQUE(FILTER('29_FUNCTION_STANDARD_MAP'!B$2:B$43,ISNUMBER(SEARCH(""|""&amp;E158&amp;""|"",""|""&amp;'29_FUNCTION_STANDARD_MAP'!E$2:E$43&amp;""|""))))))"),"UPA_TI")</f>
        <v>UPA_TI</v>
      </c>
      <c r="M158" s="7" t="s">
        <v>1398</v>
      </c>
      <c r="N158" s="7" t="s">
        <v>2713</v>
      </c>
      <c r="O158" s="7" t="s">
        <v>1452</v>
      </c>
      <c r="P158" s="7">
        <v>3.0</v>
      </c>
      <c r="Q158" s="7" t="b">
        <v>1</v>
      </c>
      <c r="R158" s="7" t="s">
        <v>3558</v>
      </c>
      <c r="S158" s="7" t="s">
        <v>329</v>
      </c>
      <c r="T158" s="7" t="s">
        <v>4093</v>
      </c>
    </row>
    <row r="159">
      <c r="A159" s="7" t="s">
        <v>2714</v>
      </c>
      <c r="B159" s="7" t="s">
        <v>2715</v>
      </c>
      <c r="C159" s="7" t="s">
        <v>2660</v>
      </c>
      <c r="D159" s="7" t="s">
        <v>2716</v>
      </c>
      <c r="E159" s="7" t="s">
        <v>3744</v>
      </c>
      <c r="F159" s="7" t="s">
        <v>3745</v>
      </c>
      <c r="G159" s="7" t="s">
        <v>4044</v>
      </c>
      <c r="H159" s="7" t="s">
        <v>3746</v>
      </c>
      <c r="I159" s="7" t="s">
        <v>4045</v>
      </c>
      <c r="J159" s="7" t="s">
        <v>2717</v>
      </c>
      <c r="K159" s="7" t="str">
        <f>IFERROR(__xludf.DUMMYFUNCTION("IF(E159="""","""",TEXTJOIN(""|"",TRUE,FILTER('29_FUNCTION_STANDARD_MAP'!A$2:A$43,ISNUMBER(SEARCH(""|""&amp;E159&amp;""|"",""|""&amp;'29_FUNCTION_STANDARD_MAP'!E$2:E$43&amp;""|"")))))"),"F-UPTI-01|F-UPTI-02")</f>
        <v>F-UPTI-01|F-UPTI-02</v>
      </c>
      <c r="L159" s="7" t="str">
        <f>IFERROR(__xludf.DUMMYFUNCTION("IF(E159="""","""",TEXTJOIN(""|"",TRUE,UNIQUE(FILTER('29_FUNCTION_STANDARD_MAP'!B$2:B$43,ISNUMBER(SEARCH(""|""&amp;E159&amp;""|"",""|""&amp;'29_FUNCTION_STANDARD_MAP'!E$2:E$43&amp;""|""))))))"),"UPA_TI")</f>
        <v>UPA_TI</v>
      </c>
      <c r="M159" s="7" t="s">
        <v>1398</v>
      </c>
      <c r="N159" s="7" t="s">
        <v>2718</v>
      </c>
      <c r="O159" s="7" t="s">
        <v>1452</v>
      </c>
      <c r="P159" s="7">
        <v>3.0</v>
      </c>
      <c r="Q159" s="7" t="b">
        <v>1</v>
      </c>
      <c r="R159" s="7" t="s">
        <v>3558</v>
      </c>
      <c r="S159" s="7" t="s">
        <v>329</v>
      </c>
      <c r="T159" s="7" t="s">
        <v>4093</v>
      </c>
    </row>
    <row r="160">
      <c r="A160" s="7" t="s">
        <v>2719</v>
      </c>
      <c r="B160" s="7" t="s">
        <v>2720</v>
      </c>
      <c r="C160" s="7" t="s">
        <v>2721</v>
      </c>
      <c r="D160" s="7" t="s">
        <v>2722</v>
      </c>
      <c r="E160" s="7" t="s">
        <v>3761</v>
      </c>
      <c r="F160" s="7" t="s">
        <v>3762</v>
      </c>
      <c r="G160" s="7" t="s">
        <v>4048</v>
      </c>
      <c r="H160" s="7" t="s">
        <v>3763</v>
      </c>
      <c r="I160" s="7" t="s">
        <v>4049</v>
      </c>
      <c r="J160" s="7" t="s">
        <v>2723</v>
      </c>
      <c r="K160" s="7" t="str">
        <f>IFERROR(__xludf.DUMMYFUNCTION("IF(E160="""","""",TEXTJOIN(""|"",TRUE,FILTER('29_FUNCTION_STANDARD_MAP'!A$2:A$43,ISNUMBER(SEARCH(""|""&amp;E160&amp;""|"",""|""&amp;'29_FUNCTION_STANDARD_MAP'!E$2:E$43&amp;""|"")))))"),"F-UPAP-01")</f>
        <v>F-UPAP-01</v>
      </c>
      <c r="L160" s="7" t="str">
        <f>IFERROR(__xludf.DUMMYFUNCTION("IF(E160="""","""",TEXTJOIN(""|"",TRUE,UNIQUE(FILTER('29_FUNCTION_STANDARD_MAP'!B$2:B$43,ISNUMBER(SEARCH(""|""&amp;E160&amp;""|"",""|""&amp;'29_FUNCTION_STANDARD_MAP'!E$2:E$43&amp;""|""))))))"),"UPA_PERPUS")</f>
        <v>UPA_PERPUS</v>
      </c>
      <c r="M160" s="7" t="s">
        <v>1393</v>
      </c>
      <c r="N160" s="7" t="s">
        <v>2611</v>
      </c>
      <c r="O160" s="7" t="s">
        <v>1465</v>
      </c>
      <c r="P160" s="7">
        <v>2.0</v>
      </c>
      <c r="Q160" s="7" t="b">
        <v>1</v>
      </c>
      <c r="R160" s="7" t="s">
        <v>3558</v>
      </c>
      <c r="S160" s="7" t="s">
        <v>329</v>
      </c>
      <c r="T160" s="7" t="s">
        <v>4093</v>
      </c>
    </row>
    <row r="161">
      <c r="A161" s="7" t="s">
        <v>2724</v>
      </c>
      <c r="B161" s="7" t="s">
        <v>2725</v>
      </c>
      <c r="C161" s="7" t="s">
        <v>2721</v>
      </c>
      <c r="D161" s="7" t="s">
        <v>2726</v>
      </c>
      <c r="E161" s="7" t="s">
        <v>3761</v>
      </c>
      <c r="F161" s="7" t="s">
        <v>3762</v>
      </c>
      <c r="G161" s="7" t="s">
        <v>4048</v>
      </c>
      <c r="H161" s="7" t="s">
        <v>3763</v>
      </c>
      <c r="I161" s="7" t="s">
        <v>4049</v>
      </c>
      <c r="J161" s="7">
        <v>8.4</v>
      </c>
      <c r="K161" s="7" t="str">
        <f>IFERROR(__xludf.DUMMYFUNCTION("IF(E161="""","""",TEXTJOIN(""|"",TRUE,FILTER('29_FUNCTION_STANDARD_MAP'!A$2:A$43,ISNUMBER(SEARCH(""|""&amp;E161&amp;""|"",""|""&amp;'29_FUNCTION_STANDARD_MAP'!E$2:E$43&amp;""|"")))))"),"F-UPAP-01")</f>
        <v>F-UPAP-01</v>
      </c>
      <c r="L161" s="7" t="str">
        <f>IFERROR(__xludf.DUMMYFUNCTION("IF(E161="""","""",TEXTJOIN(""|"",TRUE,UNIQUE(FILTER('29_FUNCTION_STANDARD_MAP'!B$2:B$43,ISNUMBER(SEARCH(""|""&amp;E161&amp;""|"",""|""&amp;'29_FUNCTION_STANDARD_MAP'!E$2:E$43&amp;""|""))))))"),"UPA_PERPUS")</f>
        <v>UPA_PERPUS</v>
      </c>
      <c r="M161" s="7" t="s">
        <v>1393</v>
      </c>
      <c r="N161" s="7" t="s">
        <v>2727</v>
      </c>
      <c r="O161" s="7" t="s">
        <v>1465</v>
      </c>
      <c r="P161" s="7">
        <v>2.0</v>
      </c>
      <c r="Q161" s="7" t="b">
        <v>1</v>
      </c>
      <c r="R161" s="7" t="s">
        <v>3558</v>
      </c>
      <c r="S161" s="7" t="s">
        <v>329</v>
      </c>
      <c r="T161" s="7" t="s">
        <v>4093</v>
      </c>
    </row>
    <row r="162">
      <c r="A162" s="7" t="s">
        <v>2728</v>
      </c>
      <c r="B162" s="7" t="s">
        <v>2729</v>
      </c>
      <c r="C162" s="7" t="s">
        <v>2721</v>
      </c>
      <c r="D162" s="7" t="s">
        <v>2730</v>
      </c>
      <c r="E162" s="7" t="s">
        <v>3761</v>
      </c>
      <c r="F162" s="7" t="s">
        <v>3762</v>
      </c>
      <c r="G162" s="7" t="s">
        <v>4048</v>
      </c>
      <c r="H162" s="7" t="s">
        <v>3763</v>
      </c>
      <c r="I162" s="7" t="s">
        <v>4049</v>
      </c>
      <c r="J162" s="7" t="s">
        <v>1727</v>
      </c>
      <c r="K162" s="7" t="str">
        <f>IFERROR(__xludf.DUMMYFUNCTION("IF(E162="""","""",TEXTJOIN(""|"",TRUE,FILTER('29_FUNCTION_STANDARD_MAP'!A$2:A$43,ISNUMBER(SEARCH(""|""&amp;E162&amp;""|"",""|""&amp;'29_FUNCTION_STANDARD_MAP'!E$2:E$43&amp;""|"")))))"),"F-UPAP-01")</f>
        <v>F-UPAP-01</v>
      </c>
      <c r="L162" s="7" t="str">
        <f>IFERROR(__xludf.DUMMYFUNCTION("IF(E162="""","""",TEXTJOIN(""|"",TRUE,UNIQUE(FILTER('29_FUNCTION_STANDARD_MAP'!B$2:B$43,ISNUMBER(SEARCH(""|""&amp;E162&amp;""|"",""|""&amp;'29_FUNCTION_STANDARD_MAP'!E$2:E$43&amp;""|""))))))"),"UPA_PERPUS")</f>
        <v>UPA_PERPUS</v>
      </c>
      <c r="M162" s="7" t="s">
        <v>1393</v>
      </c>
      <c r="N162" s="7" t="s">
        <v>2731</v>
      </c>
      <c r="O162" s="7" t="s">
        <v>1465</v>
      </c>
      <c r="P162" s="7">
        <v>2.0</v>
      </c>
      <c r="Q162" s="7" t="b">
        <v>1</v>
      </c>
      <c r="R162" s="7" t="s">
        <v>3558</v>
      </c>
      <c r="S162" s="7" t="s">
        <v>329</v>
      </c>
      <c r="T162" s="7" t="s">
        <v>4093</v>
      </c>
    </row>
    <row r="163">
      <c r="A163" s="7" t="s">
        <v>2732</v>
      </c>
      <c r="B163" s="7" t="s">
        <v>2733</v>
      </c>
      <c r="C163" s="7" t="s">
        <v>2721</v>
      </c>
      <c r="D163" s="7" t="s">
        <v>2734</v>
      </c>
      <c r="E163" s="7" t="s">
        <v>3761</v>
      </c>
      <c r="F163" s="7" t="s">
        <v>3762</v>
      </c>
      <c r="G163" s="7" t="s">
        <v>4048</v>
      </c>
      <c r="H163" s="7" t="s">
        <v>3763</v>
      </c>
      <c r="I163" s="7" t="s">
        <v>4049</v>
      </c>
      <c r="J163" s="7" t="s">
        <v>1722</v>
      </c>
      <c r="K163" s="7" t="str">
        <f>IFERROR(__xludf.DUMMYFUNCTION("IF(E163="""","""",TEXTJOIN(""|"",TRUE,FILTER('29_FUNCTION_STANDARD_MAP'!A$2:A$43,ISNUMBER(SEARCH(""|""&amp;E163&amp;""|"",""|""&amp;'29_FUNCTION_STANDARD_MAP'!E$2:E$43&amp;""|"")))))"),"F-UPAP-01")</f>
        <v>F-UPAP-01</v>
      </c>
      <c r="L163" s="7" t="str">
        <f>IFERROR(__xludf.DUMMYFUNCTION("IF(E163="""","""",TEXTJOIN(""|"",TRUE,UNIQUE(FILTER('29_FUNCTION_STANDARD_MAP'!B$2:B$43,ISNUMBER(SEARCH(""|""&amp;E163&amp;""|"",""|""&amp;'29_FUNCTION_STANDARD_MAP'!E$2:E$43&amp;""|""))))))"),"UPA_PERPUS")</f>
        <v>UPA_PERPUS</v>
      </c>
      <c r="M163" s="7" t="s">
        <v>1393</v>
      </c>
      <c r="N163" s="7" t="s">
        <v>2735</v>
      </c>
      <c r="O163" s="7" t="s">
        <v>1465</v>
      </c>
      <c r="P163" s="7">
        <v>2.0</v>
      </c>
      <c r="Q163" s="7" t="b">
        <v>1</v>
      </c>
      <c r="R163" s="7" t="s">
        <v>3558</v>
      </c>
      <c r="S163" s="7" t="s">
        <v>329</v>
      </c>
      <c r="T163" s="7" t="s">
        <v>4093</v>
      </c>
    </row>
    <row r="164">
      <c r="A164" s="7" t="s">
        <v>2736</v>
      </c>
      <c r="B164" s="7" t="s">
        <v>2737</v>
      </c>
      <c r="C164" s="7" t="s">
        <v>2721</v>
      </c>
      <c r="D164" s="7" t="s">
        <v>2738</v>
      </c>
      <c r="E164" s="7" t="s">
        <v>3761</v>
      </c>
      <c r="F164" s="7" t="s">
        <v>3762</v>
      </c>
      <c r="G164" s="7" t="s">
        <v>4048</v>
      </c>
      <c r="H164" s="7" t="s">
        <v>3763</v>
      </c>
      <c r="I164" s="7" t="s">
        <v>4049</v>
      </c>
      <c r="J164" s="7" t="s">
        <v>2528</v>
      </c>
      <c r="K164" s="7" t="str">
        <f>IFERROR(__xludf.DUMMYFUNCTION("IF(E164="""","""",TEXTJOIN(""|"",TRUE,FILTER('29_FUNCTION_STANDARD_MAP'!A$2:A$43,ISNUMBER(SEARCH(""|""&amp;E164&amp;""|"",""|""&amp;'29_FUNCTION_STANDARD_MAP'!E$2:E$43&amp;""|"")))))"),"F-UPAP-01")</f>
        <v>F-UPAP-01</v>
      </c>
      <c r="L164" s="7" t="str">
        <f>IFERROR(__xludf.DUMMYFUNCTION("IF(E164="""","""",TEXTJOIN(""|"",TRUE,UNIQUE(FILTER('29_FUNCTION_STANDARD_MAP'!B$2:B$43,ISNUMBER(SEARCH(""|""&amp;E164&amp;""|"",""|""&amp;'29_FUNCTION_STANDARD_MAP'!E$2:E$43&amp;""|""))))))"),"UPA_PERPUS")</f>
        <v>UPA_PERPUS</v>
      </c>
      <c r="M164" s="7" t="s">
        <v>1393</v>
      </c>
      <c r="N164" s="7" t="s">
        <v>2739</v>
      </c>
      <c r="O164" s="7" t="s">
        <v>1465</v>
      </c>
      <c r="P164" s="7">
        <v>2.0</v>
      </c>
      <c r="Q164" s="7" t="b">
        <v>1</v>
      </c>
      <c r="R164" s="7" t="s">
        <v>3558</v>
      </c>
      <c r="S164" s="7" t="s">
        <v>329</v>
      </c>
      <c r="T164" s="7" t="s">
        <v>4093</v>
      </c>
    </row>
    <row r="165">
      <c r="A165" s="7" t="s">
        <v>2740</v>
      </c>
      <c r="B165" s="7" t="s">
        <v>2741</v>
      </c>
      <c r="C165" s="7" t="s">
        <v>2721</v>
      </c>
      <c r="D165" s="7" t="s">
        <v>2742</v>
      </c>
      <c r="E165" s="7" t="s">
        <v>3761</v>
      </c>
      <c r="F165" s="7" t="s">
        <v>3762</v>
      </c>
      <c r="G165" s="7" t="s">
        <v>4048</v>
      </c>
      <c r="H165" s="7" t="s">
        <v>3763</v>
      </c>
      <c r="I165" s="7" t="s">
        <v>4049</v>
      </c>
      <c r="J165" s="7" t="s">
        <v>2743</v>
      </c>
      <c r="K165" s="7" t="str">
        <f>IFERROR(__xludf.DUMMYFUNCTION("IF(E165="""","""",TEXTJOIN(""|"",TRUE,FILTER('29_FUNCTION_STANDARD_MAP'!A$2:A$43,ISNUMBER(SEARCH(""|""&amp;E165&amp;""|"",""|""&amp;'29_FUNCTION_STANDARD_MAP'!E$2:E$43&amp;""|"")))))"),"F-UPAP-01")</f>
        <v>F-UPAP-01</v>
      </c>
      <c r="L165" s="7" t="str">
        <f>IFERROR(__xludf.DUMMYFUNCTION("IF(E165="""","""",TEXTJOIN(""|"",TRUE,UNIQUE(FILTER('29_FUNCTION_STANDARD_MAP'!B$2:B$43,ISNUMBER(SEARCH(""|""&amp;E165&amp;""|"",""|""&amp;'29_FUNCTION_STANDARD_MAP'!E$2:E$43&amp;""|""))))))"),"UPA_PERPUS")</f>
        <v>UPA_PERPUS</v>
      </c>
      <c r="M165" s="7" t="s">
        <v>1393</v>
      </c>
      <c r="N165" s="7" t="s">
        <v>2744</v>
      </c>
      <c r="O165" s="7" t="s">
        <v>1465</v>
      </c>
      <c r="P165" s="7">
        <v>2.0</v>
      </c>
      <c r="Q165" s="7" t="b">
        <v>1</v>
      </c>
      <c r="R165" s="7" t="s">
        <v>3558</v>
      </c>
      <c r="S165" s="7" t="s">
        <v>329</v>
      </c>
      <c r="T165" s="7" t="s">
        <v>4093</v>
      </c>
    </row>
    <row r="166">
      <c r="A166" s="7" t="s">
        <v>2745</v>
      </c>
      <c r="B166" s="7" t="s">
        <v>2746</v>
      </c>
      <c r="C166" s="7" t="s">
        <v>2721</v>
      </c>
      <c r="D166" s="7" t="s">
        <v>2747</v>
      </c>
      <c r="E166" s="7" t="s">
        <v>3761</v>
      </c>
      <c r="F166" s="7" t="s">
        <v>3762</v>
      </c>
      <c r="G166" s="7" t="s">
        <v>4048</v>
      </c>
      <c r="H166" s="7" t="s">
        <v>3763</v>
      </c>
      <c r="I166" s="7" t="s">
        <v>4049</v>
      </c>
      <c r="J166" s="7" t="s">
        <v>2748</v>
      </c>
      <c r="K166" s="7" t="str">
        <f>IFERROR(__xludf.DUMMYFUNCTION("IF(E166="""","""",TEXTJOIN(""|"",TRUE,FILTER('29_FUNCTION_STANDARD_MAP'!A$2:A$43,ISNUMBER(SEARCH(""|""&amp;E166&amp;""|"",""|""&amp;'29_FUNCTION_STANDARD_MAP'!E$2:E$43&amp;""|"")))))"),"F-UPAP-01")</f>
        <v>F-UPAP-01</v>
      </c>
      <c r="L166" s="7" t="str">
        <f>IFERROR(__xludf.DUMMYFUNCTION("IF(E166="""","""",TEXTJOIN(""|"",TRUE,UNIQUE(FILTER('29_FUNCTION_STANDARD_MAP'!B$2:B$43,ISNUMBER(SEARCH(""|""&amp;E166&amp;""|"",""|""&amp;'29_FUNCTION_STANDARD_MAP'!E$2:E$43&amp;""|""))))))"),"UPA_PERPUS")</f>
        <v>UPA_PERPUS</v>
      </c>
      <c r="M166" s="7" t="s">
        <v>1393</v>
      </c>
      <c r="N166" s="7" t="s">
        <v>2749</v>
      </c>
      <c r="O166" s="7" t="s">
        <v>1465</v>
      </c>
      <c r="P166" s="7">
        <v>2.0</v>
      </c>
      <c r="Q166" s="7" t="b">
        <v>1</v>
      </c>
      <c r="R166" s="7" t="s">
        <v>3558</v>
      </c>
      <c r="S166" s="7" t="s">
        <v>329</v>
      </c>
      <c r="T166" s="7" t="s">
        <v>4093</v>
      </c>
    </row>
    <row r="167">
      <c r="A167" s="7" t="s">
        <v>2750</v>
      </c>
      <c r="B167" s="7" t="s">
        <v>2751</v>
      </c>
      <c r="C167" s="7" t="s">
        <v>2721</v>
      </c>
      <c r="D167" s="7" t="s">
        <v>2752</v>
      </c>
      <c r="E167" s="7" t="s">
        <v>3761</v>
      </c>
      <c r="F167" s="7" t="s">
        <v>3762</v>
      </c>
      <c r="G167" s="7" t="s">
        <v>4048</v>
      </c>
      <c r="H167" s="7" t="s">
        <v>3763</v>
      </c>
      <c r="I167" s="7" t="s">
        <v>4049</v>
      </c>
      <c r="J167" s="7" t="s">
        <v>1770</v>
      </c>
      <c r="K167" s="7" t="str">
        <f>IFERROR(__xludf.DUMMYFUNCTION("IF(E167="""","""",TEXTJOIN(""|"",TRUE,FILTER('29_FUNCTION_STANDARD_MAP'!A$2:A$43,ISNUMBER(SEARCH(""|""&amp;E167&amp;""|"",""|""&amp;'29_FUNCTION_STANDARD_MAP'!E$2:E$43&amp;""|"")))))"),"F-UPAP-01")</f>
        <v>F-UPAP-01</v>
      </c>
      <c r="L167" s="7" t="str">
        <f>IFERROR(__xludf.DUMMYFUNCTION("IF(E167="""","""",TEXTJOIN(""|"",TRUE,UNIQUE(FILTER('29_FUNCTION_STANDARD_MAP'!B$2:B$43,ISNUMBER(SEARCH(""|""&amp;E167&amp;""|"",""|""&amp;'29_FUNCTION_STANDARD_MAP'!E$2:E$43&amp;""|""))))))"),"UPA_PERPUS")</f>
        <v>UPA_PERPUS</v>
      </c>
      <c r="M167" s="7" t="s">
        <v>1393</v>
      </c>
      <c r="N167" s="7" t="s">
        <v>2753</v>
      </c>
      <c r="O167" s="7" t="s">
        <v>1465</v>
      </c>
      <c r="P167" s="7">
        <v>2.0</v>
      </c>
      <c r="Q167" s="7" t="b">
        <v>1</v>
      </c>
      <c r="R167" s="7" t="s">
        <v>3558</v>
      </c>
      <c r="S167" s="7" t="s">
        <v>329</v>
      </c>
      <c r="T167" s="7" t="s">
        <v>4093</v>
      </c>
    </row>
    <row r="168">
      <c r="A168" s="7" t="s">
        <v>2754</v>
      </c>
      <c r="B168" s="7" t="s">
        <v>2755</v>
      </c>
      <c r="C168" s="7" t="s">
        <v>2721</v>
      </c>
      <c r="D168" s="7" t="s">
        <v>2756</v>
      </c>
      <c r="E168" s="7" t="s">
        <v>3761</v>
      </c>
      <c r="F168" s="7" t="s">
        <v>3762</v>
      </c>
      <c r="G168" s="7" t="s">
        <v>4048</v>
      </c>
      <c r="H168" s="7" t="s">
        <v>3763</v>
      </c>
      <c r="I168" s="7" t="s">
        <v>4049</v>
      </c>
      <c r="J168" s="7" t="s">
        <v>1765</v>
      </c>
      <c r="K168" s="7" t="str">
        <f>IFERROR(__xludf.DUMMYFUNCTION("IF(E168="""","""",TEXTJOIN(""|"",TRUE,FILTER('29_FUNCTION_STANDARD_MAP'!A$2:A$43,ISNUMBER(SEARCH(""|""&amp;E168&amp;""|"",""|""&amp;'29_FUNCTION_STANDARD_MAP'!E$2:E$43&amp;""|"")))))"),"F-UPAP-01")</f>
        <v>F-UPAP-01</v>
      </c>
      <c r="L168" s="7" t="str">
        <f>IFERROR(__xludf.DUMMYFUNCTION("IF(E168="""","""",TEXTJOIN(""|"",TRUE,UNIQUE(FILTER('29_FUNCTION_STANDARD_MAP'!B$2:B$43,ISNUMBER(SEARCH(""|""&amp;E168&amp;""|"",""|""&amp;'29_FUNCTION_STANDARD_MAP'!E$2:E$43&amp;""|""))))))"),"UPA_PERPUS")</f>
        <v>UPA_PERPUS</v>
      </c>
      <c r="M168" s="7" t="s">
        <v>1393</v>
      </c>
      <c r="N168" s="7" t="s">
        <v>2757</v>
      </c>
      <c r="O168" s="7" t="s">
        <v>1465</v>
      </c>
      <c r="P168" s="7">
        <v>2.0</v>
      </c>
      <c r="Q168" s="7" t="b">
        <v>1</v>
      </c>
      <c r="R168" s="7" t="s">
        <v>3558</v>
      </c>
      <c r="S168" s="7" t="s">
        <v>329</v>
      </c>
      <c r="T168" s="7" t="s">
        <v>4093</v>
      </c>
    </row>
    <row r="169">
      <c r="A169" s="7" t="s">
        <v>2758</v>
      </c>
      <c r="B169" s="7" t="s">
        <v>2759</v>
      </c>
      <c r="C169" s="7" t="s">
        <v>2721</v>
      </c>
      <c r="D169" s="7" t="s">
        <v>2760</v>
      </c>
      <c r="E169" s="7" t="s">
        <v>3761</v>
      </c>
      <c r="F169" s="7" t="s">
        <v>3762</v>
      </c>
      <c r="G169" s="7" t="s">
        <v>4048</v>
      </c>
      <c r="H169" s="7" t="s">
        <v>3763</v>
      </c>
      <c r="I169" s="7" t="s">
        <v>4049</v>
      </c>
      <c r="J169" s="7" t="s">
        <v>2761</v>
      </c>
      <c r="K169" s="7" t="str">
        <f>IFERROR(__xludf.DUMMYFUNCTION("IF(E169="""","""",TEXTJOIN(""|"",TRUE,FILTER('29_FUNCTION_STANDARD_MAP'!A$2:A$43,ISNUMBER(SEARCH(""|""&amp;E169&amp;""|"",""|""&amp;'29_FUNCTION_STANDARD_MAP'!E$2:E$43&amp;""|"")))))"),"F-UPAP-01")</f>
        <v>F-UPAP-01</v>
      </c>
      <c r="L169" s="7" t="str">
        <f>IFERROR(__xludf.DUMMYFUNCTION("IF(E169="""","""",TEXTJOIN(""|"",TRUE,UNIQUE(FILTER('29_FUNCTION_STANDARD_MAP'!B$2:B$43,ISNUMBER(SEARCH(""|""&amp;E169&amp;""|"",""|""&amp;'29_FUNCTION_STANDARD_MAP'!E$2:E$43&amp;""|""))))))"),"UPA_PERPUS")</f>
        <v>UPA_PERPUS</v>
      </c>
      <c r="M169" s="7" t="s">
        <v>1393</v>
      </c>
      <c r="N169" s="7" t="s">
        <v>2762</v>
      </c>
      <c r="O169" s="7" t="s">
        <v>1465</v>
      </c>
      <c r="P169" s="7">
        <v>2.0</v>
      </c>
      <c r="Q169" s="7" t="b">
        <v>1</v>
      </c>
      <c r="R169" s="7" t="s">
        <v>3558</v>
      </c>
      <c r="S169" s="7" t="s">
        <v>329</v>
      </c>
      <c r="T169" s="7" t="s">
        <v>4093</v>
      </c>
    </row>
    <row r="170">
      <c r="A170" s="7" t="s">
        <v>2763</v>
      </c>
      <c r="B170" s="7" t="s">
        <v>2764</v>
      </c>
      <c r="C170" s="7" t="s">
        <v>2765</v>
      </c>
      <c r="D170" s="7" t="s">
        <v>2766</v>
      </c>
      <c r="E170" s="7" t="s">
        <v>3774</v>
      </c>
      <c r="F170" s="7" t="s">
        <v>3775</v>
      </c>
      <c r="G170" s="7" t="s">
        <v>4052</v>
      </c>
      <c r="H170" s="7" t="s">
        <v>3776</v>
      </c>
      <c r="I170" s="7" t="s">
        <v>4053</v>
      </c>
      <c r="J170" s="7" t="s">
        <v>2174</v>
      </c>
      <c r="K170" s="7" t="str">
        <f>IFERROR(__xludf.DUMMYFUNCTION("IF(E170="""","""",TEXTJOIN(""|"",TRUE,FILTER('29_FUNCTION_STANDARD_MAP'!A$2:A$43,ISNUMBER(SEARCH(""|""&amp;E170&amp;""|"",""|""&amp;'29_FUNCTION_STANDARD_MAP'!E$2:E$43&amp;""|"")))))"),"F-UPTM-01")</f>
        <v>F-UPTM-01</v>
      </c>
      <c r="L170" s="7" t="str">
        <f>IFERROR(__xludf.DUMMYFUNCTION("IF(E170="""","""",TEXTJOIN(""|"",TRUE,UNIQUE(FILTER('29_FUNCTION_STANDARD_MAP'!B$2:B$43,ISNUMBER(SEARCH(""|""&amp;E170&amp;""|"",""|""&amp;'29_FUNCTION_STANDARD_MAP'!E$2:E$43&amp;""|""))))))"),"UPA_TPPA")</f>
        <v>UPA_TPPA</v>
      </c>
      <c r="M170" s="7" t="s">
        <v>1402</v>
      </c>
      <c r="N170" s="7" t="s">
        <v>2767</v>
      </c>
      <c r="O170" s="7" t="s">
        <v>1465</v>
      </c>
      <c r="P170" s="7">
        <v>2.0</v>
      </c>
      <c r="Q170" s="7" t="b">
        <v>1</v>
      </c>
      <c r="R170" s="7" t="s">
        <v>3558</v>
      </c>
      <c r="S170" s="7" t="s">
        <v>329</v>
      </c>
      <c r="T170" s="7" t="s">
        <v>4093</v>
      </c>
    </row>
    <row r="171">
      <c r="A171" s="7" t="s">
        <v>2768</v>
      </c>
      <c r="B171" s="7" t="s">
        <v>2769</v>
      </c>
      <c r="C171" s="7" t="s">
        <v>2765</v>
      </c>
      <c r="D171" s="7" t="s">
        <v>2770</v>
      </c>
      <c r="E171" s="7" t="s">
        <v>3774</v>
      </c>
      <c r="F171" s="7" t="s">
        <v>3775</v>
      </c>
      <c r="G171" s="7" t="s">
        <v>4052</v>
      </c>
      <c r="H171" s="7" t="s">
        <v>3776</v>
      </c>
      <c r="I171" s="7" t="s">
        <v>4053</v>
      </c>
      <c r="J171" s="7">
        <v>6.1</v>
      </c>
      <c r="K171" s="7" t="str">
        <f>IFERROR(__xludf.DUMMYFUNCTION("IF(E171="""","""",TEXTJOIN(""|"",TRUE,FILTER('29_FUNCTION_STANDARD_MAP'!A$2:A$43,ISNUMBER(SEARCH(""|""&amp;E171&amp;""|"",""|""&amp;'29_FUNCTION_STANDARD_MAP'!E$2:E$43&amp;""|"")))))"),"F-UPTM-01")</f>
        <v>F-UPTM-01</v>
      </c>
      <c r="L171" s="7" t="str">
        <f>IFERROR(__xludf.DUMMYFUNCTION("IF(E171="""","""",TEXTJOIN(""|"",TRUE,UNIQUE(FILTER('29_FUNCTION_STANDARD_MAP'!B$2:B$43,ISNUMBER(SEARCH(""|""&amp;E171&amp;""|"",""|""&amp;'29_FUNCTION_STANDARD_MAP'!E$2:E$43&amp;""|""))))))"),"UPA_TPPA")</f>
        <v>UPA_TPPA</v>
      </c>
      <c r="M171" s="7" t="s">
        <v>1402</v>
      </c>
      <c r="N171" s="7" t="s">
        <v>2771</v>
      </c>
      <c r="O171" s="7" t="s">
        <v>1465</v>
      </c>
      <c r="P171" s="7">
        <v>2.0</v>
      </c>
      <c r="Q171" s="7" t="b">
        <v>1</v>
      </c>
      <c r="R171" s="7" t="s">
        <v>3558</v>
      </c>
      <c r="S171" s="7" t="s">
        <v>329</v>
      </c>
      <c r="T171" s="7" t="s">
        <v>4093</v>
      </c>
    </row>
    <row r="172">
      <c r="A172" s="7" t="s">
        <v>2772</v>
      </c>
      <c r="B172" s="7" t="s">
        <v>2773</v>
      </c>
      <c r="C172" s="7" t="s">
        <v>2765</v>
      </c>
      <c r="D172" s="7" t="s">
        <v>2774</v>
      </c>
      <c r="E172" s="7" t="s">
        <v>3774</v>
      </c>
      <c r="F172" s="7" t="s">
        <v>3775</v>
      </c>
      <c r="G172" s="7" t="s">
        <v>4052</v>
      </c>
      <c r="H172" s="7" t="s">
        <v>3776</v>
      </c>
      <c r="I172" s="7" t="s">
        <v>4053</v>
      </c>
      <c r="J172" s="7" t="s">
        <v>1659</v>
      </c>
      <c r="K172" s="7" t="str">
        <f>IFERROR(__xludf.DUMMYFUNCTION("IF(E172="""","""",TEXTJOIN(""|"",TRUE,FILTER('29_FUNCTION_STANDARD_MAP'!A$2:A$43,ISNUMBER(SEARCH(""|""&amp;E172&amp;""|"",""|""&amp;'29_FUNCTION_STANDARD_MAP'!E$2:E$43&amp;""|"")))))"),"F-UPTM-01")</f>
        <v>F-UPTM-01</v>
      </c>
      <c r="L172" s="7" t="str">
        <f>IFERROR(__xludf.DUMMYFUNCTION("IF(E172="""","""",TEXTJOIN(""|"",TRUE,UNIQUE(FILTER('29_FUNCTION_STANDARD_MAP'!B$2:B$43,ISNUMBER(SEARCH(""|""&amp;E172&amp;""|"",""|""&amp;'29_FUNCTION_STANDARD_MAP'!E$2:E$43&amp;""|""))))))"),"UPA_TPPA")</f>
        <v>UPA_TPPA</v>
      </c>
      <c r="M172" s="7" t="s">
        <v>1402</v>
      </c>
      <c r="N172" s="7" t="s">
        <v>2775</v>
      </c>
      <c r="O172" s="7" t="s">
        <v>1465</v>
      </c>
      <c r="P172" s="7">
        <v>2.0</v>
      </c>
      <c r="Q172" s="7" t="b">
        <v>1</v>
      </c>
      <c r="R172" s="7" t="s">
        <v>3558</v>
      </c>
      <c r="S172" s="7" t="s">
        <v>329</v>
      </c>
      <c r="T172" s="7" t="s">
        <v>4093</v>
      </c>
    </row>
    <row r="173">
      <c r="A173" s="7" t="s">
        <v>2776</v>
      </c>
      <c r="B173" s="7" t="s">
        <v>2777</v>
      </c>
      <c r="C173" s="7" t="s">
        <v>2765</v>
      </c>
      <c r="D173" s="7" t="s">
        <v>2778</v>
      </c>
      <c r="E173" s="7" t="s">
        <v>3774</v>
      </c>
      <c r="F173" s="7" t="s">
        <v>3775</v>
      </c>
      <c r="G173" s="7" t="s">
        <v>4052</v>
      </c>
      <c r="H173" s="7" t="s">
        <v>3776</v>
      </c>
      <c r="I173" s="7" t="s">
        <v>4053</v>
      </c>
      <c r="J173" s="7" t="s">
        <v>2779</v>
      </c>
      <c r="K173" s="7" t="str">
        <f>IFERROR(__xludf.DUMMYFUNCTION("IF(E173="""","""",TEXTJOIN(""|"",TRUE,FILTER('29_FUNCTION_STANDARD_MAP'!A$2:A$43,ISNUMBER(SEARCH(""|""&amp;E173&amp;""|"",""|""&amp;'29_FUNCTION_STANDARD_MAP'!E$2:E$43&amp;""|"")))))"),"F-UPTM-01")</f>
        <v>F-UPTM-01</v>
      </c>
      <c r="L173" s="7" t="str">
        <f>IFERROR(__xludf.DUMMYFUNCTION("IF(E173="""","""",TEXTJOIN(""|"",TRUE,UNIQUE(FILTER('29_FUNCTION_STANDARD_MAP'!B$2:B$43,ISNUMBER(SEARCH(""|""&amp;E173&amp;""|"",""|""&amp;'29_FUNCTION_STANDARD_MAP'!E$2:E$43&amp;""|""))))))"),"UPA_TPPA")</f>
        <v>UPA_TPPA</v>
      </c>
      <c r="M173" s="7" t="s">
        <v>1402</v>
      </c>
      <c r="N173" s="7" t="s">
        <v>2780</v>
      </c>
      <c r="O173" s="7" t="s">
        <v>1465</v>
      </c>
      <c r="P173" s="7">
        <v>2.0</v>
      </c>
      <c r="Q173" s="7" t="b">
        <v>1</v>
      </c>
      <c r="R173" s="7" t="s">
        <v>3558</v>
      </c>
      <c r="S173" s="7" t="s">
        <v>329</v>
      </c>
      <c r="T173" s="7" t="s">
        <v>4093</v>
      </c>
    </row>
    <row r="174">
      <c r="A174" s="7" t="s">
        <v>2781</v>
      </c>
      <c r="B174" s="7" t="s">
        <v>2782</v>
      </c>
      <c r="C174" s="7" t="s">
        <v>2765</v>
      </c>
      <c r="D174" s="7" t="s">
        <v>2783</v>
      </c>
      <c r="E174" s="7" t="s">
        <v>3774</v>
      </c>
      <c r="F174" s="7" t="s">
        <v>3775</v>
      </c>
      <c r="G174" s="7" t="s">
        <v>4052</v>
      </c>
      <c r="H174" s="7" t="s">
        <v>3776</v>
      </c>
      <c r="I174" s="7" t="s">
        <v>4053</v>
      </c>
      <c r="J174" s="7">
        <v>7.2</v>
      </c>
      <c r="K174" s="7" t="str">
        <f>IFERROR(__xludf.DUMMYFUNCTION("IF(E174="""","""",TEXTJOIN(""|"",TRUE,FILTER('29_FUNCTION_STANDARD_MAP'!A$2:A$43,ISNUMBER(SEARCH(""|""&amp;E174&amp;""|"",""|""&amp;'29_FUNCTION_STANDARD_MAP'!E$2:E$43&amp;""|"")))))"),"F-UPTM-01")</f>
        <v>F-UPTM-01</v>
      </c>
      <c r="L174" s="7" t="str">
        <f>IFERROR(__xludf.DUMMYFUNCTION("IF(E174="""","""",TEXTJOIN(""|"",TRUE,UNIQUE(FILTER('29_FUNCTION_STANDARD_MAP'!B$2:B$43,ISNUMBER(SEARCH(""|""&amp;E174&amp;""|"",""|""&amp;'29_FUNCTION_STANDARD_MAP'!E$2:E$43&amp;""|""))))))"),"UPA_TPPA")</f>
        <v>UPA_TPPA</v>
      </c>
      <c r="M174" s="7" t="s">
        <v>1402</v>
      </c>
      <c r="N174" s="7" t="s">
        <v>2784</v>
      </c>
      <c r="O174" s="7" t="s">
        <v>1465</v>
      </c>
      <c r="P174" s="7">
        <v>2.0</v>
      </c>
      <c r="Q174" s="7" t="b">
        <v>1</v>
      </c>
      <c r="R174" s="7" t="s">
        <v>3558</v>
      </c>
      <c r="S174" s="7" t="s">
        <v>329</v>
      </c>
      <c r="T174" s="7" t="s">
        <v>4093</v>
      </c>
    </row>
    <row r="175">
      <c r="A175" s="7" t="s">
        <v>2785</v>
      </c>
      <c r="B175" s="7" t="s">
        <v>2786</v>
      </c>
      <c r="C175" s="7" t="s">
        <v>2765</v>
      </c>
      <c r="D175" s="7" t="s">
        <v>2787</v>
      </c>
      <c r="E175" s="7" t="s">
        <v>3774</v>
      </c>
      <c r="F175" s="7" t="s">
        <v>3775</v>
      </c>
      <c r="G175" s="7" t="s">
        <v>4052</v>
      </c>
      <c r="H175" s="7" t="s">
        <v>3776</v>
      </c>
      <c r="I175" s="7" t="s">
        <v>4053</v>
      </c>
      <c r="J175" s="7" t="s">
        <v>1659</v>
      </c>
      <c r="K175" s="7" t="str">
        <f>IFERROR(__xludf.DUMMYFUNCTION("IF(E175="""","""",TEXTJOIN(""|"",TRUE,FILTER('29_FUNCTION_STANDARD_MAP'!A$2:A$43,ISNUMBER(SEARCH(""|""&amp;E175&amp;""|"",""|""&amp;'29_FUNCTION_STANDARD_MAP'!E$2:E$43&amp;""|"")))))"),"F-UPTM-01")</f>
        <v>F-UPTM-01</v>
      </c>
      <c r="L175" s="7" t="str">
        <f>IFERROR(__xludf.DUMMYFUNCTION("IF(E175="""","""",TEXTJOIN(""|"",TRUE,UNIQUE(FILTER('29_FUNCTION_STANDARD_MAP'!B$2:B$43,ISNUMBER(SEARCH(""|""&amp;E175&amp;""|"",""|""&amp;'29_FUNCTION_STANDARD_MAP'!E$2:E$43&amp;""|""))))))"),"UPA_TPPA")</f>
        <v>UPA_TPPA</v>
      </c>
      <c r="M175" s="7" t="s">
        <v>1402</v>
      </c>
      <c r="N175" s="7" t="s">
        <v>2788</v>
      </c>
      <c r="O175" s="7" t="s">
        <v>1465</v>
      </c>
      <c r="P175" s="7">
        <v>2.0</v>
      </c>
      <c r="Q175" s="7" t="b">
        <v>1</v>
      </c>
      <c r="R175" s="7" t="s">
        <v>3558</v>
      </c>
      <c r="S175" s="7" t="s">
        <v>329</v>
      </c>
      <c r="T175" s="7" t="s">
        <v>4093</v>
      </c>
    </row>
    <row r="176">
      <c r="A176" s="7" t="s">
        <v>2789</v>
      </c>
      <c r="B176" s="7" t="s">
        <v>2790</v>
      </c>
      <c r="C176" s="7" t="s">
        <v>2765</v>
      </c>
      <c r="D176" s="7" t="s">
        <v>2791</v>
      </c>
      <c r="E176" s="7" t="s">
        <v>3774</v>
      </c>
      <c r="F176" s="7" t="s">
        <v>3775</v>
      </c>
      <c r="G176" s="7" t="s">
        <v>4052</v>
      </c>
      <c r="H176" s="7" t="s">
        <v>3776</v>
      </c>
      <c r="I176" s="7" t="s">
        <v>4053</v>
      </c>
      <c r="J176" s="7">
        <v>8.6</v>
      </c>
      <c r="K176" s="7" t="str">
        <f>IFERROR(__xludf.DUMMYFUNCTION("IF(E176="""","""",TEXTJOIN(""|"",TRUE,FILTER('29_FUNCTION_STANDARD_MAP'!A$2:A$43,ISNUMBER(SEARCH(""|""&amp;E176&amp;""|"",""|""&amp;'29_FUNCTION_STANDARD_MAP'!E$2:E$43&amp;""|"")))))"),"F-UPTM-01")</f>
        <v>F-UPTM-01</v>
      </c>
      <c r="L176" s="7" t="str">
        <f>IFERROR(__xludf.DUMMYFUNCTION("IF(E176="""","""",TEXTJOIN(""|"",TRUE,UNIQUE(FILTER('29_FUNCTION_STANDARD_MAP'!B$2:B$43,ISNUMBER(SEARCH(""|""&amp;E176&amp;""|"",""|""&amp;'29_FUNCTION_STANDARD_MAP'!E$2:E$43&amp;""|""))))))"),"UPA_TPPA")</f>
        <v>UPA_TPPA</v>
      </c>
      <c r="M176" s="7" t="s">
        <v>1402</v>
      </c>
      <c r="N176" s="7" t="s">
        <v>2792</v>
      </c>
      <c r="O176" s="7" t="s">
        <v>1465</v>
      </c>
      <c r="P176" s="7">
        <v>2.0</v>
      </c>
      <c r="Q176" s="7" t="b">
        <v>1</v>
      </c>
      <c r="R176" s="7" t="s">
        <v>3558</v>
      </c>
      <c r="S176" s="7" t="s">
        <v>329</v>
      </c>
      <c r="T176" s="7" t="s">
        <v>4093</v>
      </c>
    </row>
    <row r="177">
      <c r="A177" s="7" t="s">
        <v>2793</v>
      </c>
      <c r="B177" s="7" t="s">
        <v>2794</v>
      </c>
      <c r="C177" s="7" t="s">
        <v>2765</v>
      </c>
      <c r="D177" s="7" t="s">
        <v>2795</v>
      </c>
      <c r="E177" s="7" t="s">
        <v>3774</v>
      </c>
      <c r="F177" s="7" t="s">
        <v>3775</v>
      </c>
      <c r="G177" s="7" t="s">
        <v>4052</v>
      </c>
      <c r="H177" s="7" t="s">
        <v>3776</v>
      </c>
      <c r="I177" s="7" t="s">
        <v>4053</v>
      </c>
      <c r="J177" s="7" t="s">
        <v>1983</v>
      </c>
      <c r="K177" s="7" t="str">
        <f>IFERROR(__xludf.DUMMYFUNCTION("IF(E177="""","""",TEXTJOIN(""|"",TRUE,FILTER('29_FUNCTION_STANDARD_MAP'!A$2:A$43,ISNUMBER(SEARCH(""|""&amp;E177&amp;""|"",""|""&amp;'29_FUNCTION_STANDARD_MAP'!E$2:E$43&amp;""|"")))))"),"F-UPTM-01")</f>
        <v>F-UPTM-01</v>
      </c>
      <c r="L177" s="7" t="str">
        <f>IFERROR(__xludf.DUMMYFUNCTION("IF(E177="""","""",TEXTJOIN(""|"",TRUE,UNIQUE(FILTER('29_FUNCTION_STANDARD_MAP'!B$2:B$43,ISNUMBER(SEARCH(""|""&amp;E177&amp;""|"",""|""&amp;'29_FUNCTION_STANDARD_MAP'!E$2:E$43&amp;""|""))))))"),"UPA_TPPA")</f>
        <v>UPA_TPPA</v>
      </c>
      <c r="M177" s="7" t="s">
        <v>1402</v>
      </c>
      <c r="N177" s="7" t="s">
        <v>2796</v>
      </c>
      <c r="O177" s="7" t="s">
        <v>1465</v>
      </c>
      <c r="P177" s="7">
        <v>2.0</v>
      </c>
      <c r="Q177" s="7" t="b">
        <v>1</v>
      </c>
      <c r="R177" s="7" t="s">
        <v>3558</v>
      </c>
      <c r="S177" s="7" t="s">
        <v>329</v>
      </c>
      <c r="T177" s="7" t="s">
        <v>4093</v>
      </c>
    </row>
    <row r="178">
      <c r="A178" s="7" t="s">
        <v>2797</v>
      </c>
      <c r="B178" s="7" t="s">
        <v>2798</v>
      </c>
      <c r="C178" s="7" t="s">
        <v>2765</v>
      </c>
      <c r="D178" s="7" t="s">
        <v>2799</v>
      </c>
      <c r="E178" s="7" t="s">
        <v>3774</v>
      </c>
      <c r="F178" s="7" t="s">
        <v>3775</v>
      </c>
      <c r="G178" s="7" t="s">
        <v>4052</v>
      </c>
      <c r="H178" s="7" t="s">
        <v>3776</v>
      </c>
      <c r="I178" s="7" t="s">
        <v>4053</v>
      </c>
      <c r="J178" s="7">
        <v>8.7</v>
      </c>
      <c r="K178" s="7" t="str">
        <f>IFERROR(__xludf.DUMMYFUNCTION("IF(E178="""","""",TEXTJOIN(""|"",TRUE,FILTER('29_FUNCTION_STANDARD_MAP'!A$2:A$43,ISNUMBER(SEARCH(""|""&amp;E178&amp;""|"",""|""&amp;'29_FUNCTION_STANDARD_MAP'!E$2:E$43&amp;""|"")))))"),"F-UPTM-01")</f>
        <v>F-UPTM-01</v>
      </c>
      <c r="L178" s="7" t="str">
        <f>IFERROR(__xludf.DUMMYFUNCTION("IF(E178="""","""",TEXTJOIN(""|"",TRUE,UNIQUE(FILTER('29_FUNCTION_STANDARD_MAP'!B$2:B$43,ISNUMBER(SEARCH(""|""&amp;E178&amp;""|"",""|""&amp;'29_FUNCTION_STANDARD_MAP'!E$2:E$43&amp;""|""))))))"),"UPA_TPPA")</f>
        <v>UPA_TPPA</v>
      </c>
      <c r="M178" s="7" t="s">
        <v>1402</v>
      </c>
      <c r="N178" s="7" t="s">
        <v>2800</v>
      </c>
      <c r="O178" s="7" t="s">
        <v>1465</v>
      </c>
      <c r="P178" s="7">
        <v>2.0</v>
      </c>
      <c r="Q178" s="7" t="b">
        <v>1</v>
      </c>
      <c r="R178" s="7" t="s">
        <v>3558</v>
      </c>
      <c r="S178" s="7" t="s">
        <v>329</v>
      </c>
      <c r="T178" s="7" t="s">
        <v>4093</v>
      </c>
    </row>
    <row r="179">
      <c r="A179" s="7" t="s">
        <v>2801</v>
      </c>
      <c r="B179" s="7" t="s">
        <v>2802</v>
      </c>
      <c r="C179" s="7" t="s">
        <v>2765</v>
      </c>
      <c r="D179" s="7" t="s">
        <v>2803</v>
      </c>
      <c r="E179" s="7" t="s">
        <v>3774</v>
      </c>
      <c r="F179" s="7" t="s">
        <v>3775</v>
      </c>
      <c r="G179" s="7" t="s">
        <v>4052</v>
      </c>
      <c r="H179" s="7" t="s">
        <v>3776</v>
      </c>
      <c r="I179" s="7" t="s">
        <v>4053</v>
      </c>
      <c r="J179" s="7" t="s">
        <v>2804</v>
      </c>
      <c r="K179" s="7" t="str">
        <f>IFERROR(__xludf.DUMMYFUNCTION("IF(E179="""","""",TEXTJOIN(""|"",TRUE,FILTER('29_FUNCTION_STANDARD_MAP'!A$2:A$43,ISNUMBER(SEARCH(""|""&amp;E179&amp;""|"",""|""&amp;'29_FUNCTION_STANDARD_MAP'!E$2:E$43&amp;""|"")))))"),"F-UPTM-01")</f>
        <v>F-UPTM-01</v>
      </c>
      <c r="L179" s="7" t="str">
        <f>IFERROR(__xludf.DUMMYFUNCTION("IF(E179="""","""",TEXTJOIN(""|"",TRUE,UNIQUE(FILTER('29_FUNCTION_STANDARD_MAP'!B$2:B$43,ISNUMBER(SEARCH(""|""&amp;E179&amp;""|"",""|""&amp;'29_FUNCTION_STANDARD_MAP'!E$2:E$43&amp;""|""))))))"),"UPA_TPPA")</f>
        <v>UPA_TPPA</v>
      </c>
      <c r="M179" s="7" t="s">
        <v>1402</v>
      </c>
      <c r="N179" s="7" t="s">
        <v>2805</v>
      </c>
      <c r="O179" s="7" t="s">
        <v>1465</v>
      </c>
      <c r="P179" s="7">
        <v>2.0</v>
      </c>
      <c r="Q179" s="7" t="b">
        <v>1</v>
      </c>
      <c r="R179" s="7" t="s">
        <v>3558</v>
      </c>
      <c r="S179" s="7" t="s">
        <v>329</v>
      </c>
      <c r="T179" s="7" t="s">
        <v>4093</v>
      </c>
    </row>
    <row r="180">
      <c r="A180" s="7" t="s">
        <v>2806</v>
      </c>
      <c r="B180" s="7" t="s">
        <v>2807</v>
      </c>
      <c r="C180" s="7" t="s">
        <v>2808</v>
      </c>
      <c r="D180" s="7" t="s">
        <v>2809</v>
      </c>
      <c r="E180" s="7" t="s">
        <v>3787</v>
      </c>
      <c r="F180" s="7" t="s">
        <v>3788</v>
      </c>
      <c r="G180" s="7" t="s">
        <v>4056</v>
      </c>
      <c r="H180" s="7" t="s">
        <v>3789</v>
      </c>
      <c r="I180" s="7" t="s">
        <v>4057</v>
      </c>
      <c r="J180" s="7" t="s">
        <v>2723</v>
      </c>
      <c r="K180" s="7" t="str">
        <f>IFERROR(__xludf.DUMMYFUNCTION("IF(E180="""","""",TEXTJOIN(""|"",TRUE,FILTER('29_FUNCTION_STANDARD_MAP'!A$2:A$43,ISNUMBER(SEARCH(""|""&amp;E180&amp;""|"",""|""&amp;'29_FUNCTION_STANDARD_MAP'!E$2:E$43&amp;""|"")))))"),"F-UPB-01")</f>
        <v>F-UPB-01</v>
      </c>
      <c r="L180" s="7" t="str">
        <f>IFERROR(__xludf.DUMMYFUNCTION("IF(E180="""","""",TEXTJOIN(""|"",TRUE,UNIQUE(FILTER('29_FUNCTION_STANDARD_MAP'!B$2:B$43,ISNUMBER(SEARCH(""|""&amp;E180&amp;""|"",""|""&amp;'29_FUNCTION_STANDARD_MAP'!E$2:E$43&amp;""|""))))))"),"UPA_BAHASA")</f>
        <v>UPA_BAHASA</v>
      </c>
      <c r="M180" s="7" t="s">
        <v>1406</v>
      </c>
      <c r="N180" s="7" t="s">
        <v>2611</v>
      </c>
      <c r="O180" s="7" t="s">
        <v>1465</v>
      </c>
      <c r="P180" s="7">
        <v>2.0</v>
      </c>
      <c r="Q180" s="7" t="b">
        <v>1</v>
      </c>
      <c r="R180" s="7" t="s">
        <v>3558</v>
      </c>
      <c r="S180" s="7" t="s">
        <v>329</v>
      </c>
      <c r="T180" s="7" t="s">
        <v>4093</v>
      </c>
    </row>
    <row r="181">
      <c r="A181" s="7" t="s">
        <v>2810</v>
      </c>
      <c r="B181" s="7" t="s">
        <v>2811</v>
      </c>
      <c r="C181" s="7" t="s">
        <v>2808</v>
      </c>
      <c r="D181" s="7" t="s">
        <v>2812</v>
      </c>
      <c r="E181" s="7" t="s">
        <v>3787</v>
      </c>
      <c r="F181" s="7" t="s">
        <v>3788</v>
      </c>
      <c r="G181" s="7" t="s">
        <v>4056</v>
      </c>
      <c r="H181" s="7" t="s">
        <v>3789</v>
      </c>
      <c r="I181" s="7" t="s">
        <v>4057</v>
      </c>
      <c r="J181" s="7">
        <v>7.2</v>
      </c>
      <c r="K181" s="7" t="str">
        <f>IFERROR(__xludf.DUMMYFUNCTION("IF(E181="""","""",TEXTJOIN(""|"",TRUE,FILTER('29_FUNCTION_STANDARD_MAP'!A$2:A$43,ISNUMBER(SEARCH(""|""&amp;E181&amp;""|"",""|""&amp;'29_FUNCTION_STANDARD_MAP'!E$2:E$43&amp;""|"")))))"),"F-UPB-01")</f>
        <v>F-UPB-01</v>
      </c>
      <c r="L181" s="7" t="str">
        <f>IFERROR(__xludf.DUMMYFUNCTION("IF(E181="""","""",TEXTJOIN(""|"",TRUE,UNIQUE(FILTER('29_FUNCTION_STANDARD_MAP'!B$2:B$43,ISNUMBER(SEARCH(""|""&amp;E181&amp;""|"",""|""&amp;'29_FUNCTION_STANDARD_MAP'!E$2:E$43&amp;""|""))))))"),"UPA_BAHASA")</f>
        <v>UPA_BAHASA</v>
      </c>
      <c r="M181" s="7" t="s">
        <v>1406</v>
      </c>
      <c r="N181" s="7" t="s">
        <v>2813</v>
      </c>
      <c r="O181" s="7" t="s">
        <v>1465</v>
      </c>
      <c r="P181" s="7">
        <v>2.0</v>
      </c>
      <c r="Q181" s="7" t="b">
        <v>1</v>
      </c>
      <c r="R181" s="7" t="s">
        <v>3558</v>
      </c>
      <c r="S181" s="7" t="s">
        <v>329</v>
      </c>
      <c r="T181" s="7" t="s">
        <v>4093</v>
      </c>
    </row>
    <row r="182">
      <c r="A182" s="7" t="s">
        <v>2814</v>
      </c>
      <c r="B182" s="7" t="s">
        <v>2815</v>
      </c>
      <c r="C182" s="7" t="s">
        <v>2808</v>
      </c>
      <c r="D182" s="7" t="s">
        <v>2816</v>
      </c>
      <c r="E182" s="7" t="s">
        <v>3787</v>
      </c>
      <c r="F182" s="7" t="s">
        <v>3788</v>
      </c>
      <c r="G182" s="7" t="s">
        <v>4056</v>
      </c>
      <c r="H182" s="7" t="s">
        <v>3789</v>
      </c>
      <c r="I182" s="7" t="s">
        <v>4057</v>
      </c>
      <c r="J182" s="7" t="s">
        <v>2817</v>
      </c>
      <c r="K182" s="7" t="str">
        <f>IFERROR(__xludf.DUMMYFUNCTION("IF(E182="""","""",TEXTJOIN(""|"",TRUE,FILTER('29_FUNCTION_STANDARD_MAP'!A$2:A$43,ISNUMBER(SEARCH(""|""&amp;E182&amp;""|"",""|""&amp;'29_FUNCTION_STANDARD_MAP'!E$2:E$43&amp;""|"")))))"),"F-UPB-01")</f>
        <v>F-UPB-01</v>
      </c>
      <c r="L182" s="7" t="str">
        <f>IFERROR(__xludf.DUMMYFUNCTION("IF(E182="""","""",TEXTJOIN(""|"",TRUE,UNIQUE(FILTER('29_FUNCTION_STANDARD_MAP'!B$2:B$43,ISNUMBER(SEARCH(""|""&amp;E182&amp;""|"",""|""&amp;'29_FUNCTION_STANDARD_MAP'!E$2:E$43&amp;""|""))))))"),"UPA_BAHASA")</f>
        <v>UPA_BAHASA</v>
      </c>
      <c r="M182" s="7" t="s">
        <v>1406</v>
      </c>
      <c r="N182" s="7" t="s">
        <v>2818</v>
      </c>
      <c r="O182" s="7" t="s">
        <v>1465</v>
      </c>
      <c r="P182" s="7">
        <v>2.0</v>
      </c>
      <c r="Q182" s="7" t="b">
        <v>1</v>
      </c>
      <c r="R182" s="7" t="s">
        <v>3558</v>
      </c>
      <c r="S182" s="7" t="s">
        <v>329</v>
      </c>
      <c r="T182" s="7" t="s">
        <v>4093</v>
      </c>
    </row>
    <row r="183">
      <c r="A183" s="7" t="s">
        <v>2819</v>
      </c>
      <c r="B183" s="7" t="s">
        <v>2820</v>
      </c>
      <c r="C183" s="7" t="s">
        <v>2808</v>
      </c>
      <c r="D183" s="7" t="s">
        <v>2821</v>
      </c>
      <c r="E183" s="7" t="s">
        <v>3787</v>
      </c>
      <c r="F183" s="7" t="s">
        <v>3788</v>
      </c>
      <c r="G183" s="7" t="s">
        <v>4056</v>
      </c>
      <c r="H183" s="7" t="s">
        <v>3789</v>
      </c>
      <c r="I183" s="7" t="s">
        <v>4057</v>
      </c>
      <c r="J183" s="7" t="s">
        <v>2822</v>
      </c>
      <c r="K183" s="7" t="str">
        <f>IFERROR(__xludf.DUMMYFUNCTION("IF(E183="""","""",TEXTJOIN(""|"",TRUE,FILTER('29_FUNCTION_STANDARD_MAP'!A$2:A$43,ISNUMBER(SEARCH(""|""&amp;E183&amp;""|"",""|""&amp;'29_FUNCTION_STANDARD_MAP'!E$2:E$43&amp;""|"")))))"),"F-UPB-01")</f>
        <v>F-UPB-01</v>
      </c>
      <c r="L183" s="7" t="str">
        <f>IFERROR(__xludf.DUMMYFUNCTION("IF(E183="""","""",TEXTJOIN(""|"",TRUE,UNIQUE(FILTER('29_FUNCTION_STANDARD_MAP'!B$2:B$43,ISNUMBER(SEARCH(""|""&amp;E183&amp;""|"",""|""&amp;'29_FUNCTION_STANDARD_MAP'!E$2:E$43&amp;""|""))))))"),"UPA_BAHASA")</f>
        <v>UPA_BAHASA</v>
      </c>
      <c r="M183" s="7" t="s">
        <v>1406</v>
      </c>
      <c r="N183" s="7" t="s">
        <v>2823</v>
      </c>
      <c r="O183" s="7" t="s">
        <v>1465</v>
      </c>
      <c r="P183" s="7">
        <v>2.0</v>
      </c>
      <c r="Q183" s="7" t="b">
        <v>1</v>
      </c>
      <c r="R183" s="7" t="s">
        <v>3558</v>
      </c>
      <c r="S183" s="7" t="s">
        <v>329</v>
      </c>
      <c r="T183" s="7" t="s">
        <v>4093</v>
      </c>
    </row>
    <row r="184">
      <c r="A184" s="7" t="s">
        <v>2824</v>
      </c>
      <c r="B184" s="7" t="s">
        <v>2825</v>
      </c>
      <c r="C184" s="7" t="s">
        <v>2808</v>
      </c>
      <c r="D184" s="7" t="s">
        <v>2826</v>
      </c>
      <c r="E184" s="7" t="s">
        <v>3787</v>
      </c>
      <c r="F184" s="7" t="s">
        <v>3788</v>
      </c>
      <c r="G184" s="7" t="s">
        <v>4056</v>
      </c>
      <c r="H184" s="7" t="s">
        <v>3789</v>
      </c>
      <c r="I184" s="7" t="s">
        <v>4057</v>
      </c>
      <c r="J184" s="7" t="s">
        <v>2044</v>
      </c>
      <c r="K184" s="7" t="str">
        <f>IFERROR(__xludf.DUMMYFUNCTION("IF(E184="""","""",TEXTJOIN(""|"",TRUE,FILTER('29_FUNCTION_STANDARD_MAP'!A$2:A$43,ISNUMBER(SEARCH(""|""&amp;E184&amp;""|"",""|""&amp;'29_FUNCTION_STANDARD_MAP'!E$2:E$43&amp;""|"")))))"),"F-UPB-01")</f>
        <v>F-UPB-01</v>
      </c>
      <c r="L184" s="7" t="str">
        <f>IFERROR(__xludf.DUMMYFUNCTION("IF(E184="""","""",TEXTJOIN(""|"",TRUE,UNIQUE(FILTER('29_FUNCTION_STANDARD_MAP'!B$2:B$43,ISNUMBER(SEARCH(""|""&amp;E184&amp;""|"",""|""&amp;'29_FUNCTION_STANDARD_MAP'!E$2:E$43&amp;""|""))))))"),"UPA_BAHASA")</f>
        <v>UPA_BAHASA</v>
      </c>
      <c r="M184" s="7" t="s">
        <v>1406</v>
      </c>
      <c r="N184" s="7" t="s">
        <v>2460</v>
      </c>
      <c r="O184" s="7" t="s">
        <v>1465</v>
      </c>
      <c r="P184" s="7">
        <v>2.0</v>
      </c>
      <c r="Q184" s="7" t="b">
        <v>1</v>
      </c>
      <c r="R184" s="7" t="s">
        <v>3558</v>
      </c>
      <c r="S184" s="7" t="s">
        <v>329</v>
      </c>
      <c r="T184" s="7" t="s">
        <v>4093</v>
      </c>
    </row>
    <row r="185">
      <c r="A185" s="7" t="s">
        <v>2827</v>
      </c>
      <c r="B185" s="7" t="s">
        <v>2828</v>
      </c>
      <c r="C185" s="7" t="s">
        <v>2808</v>
      </c>
      <c r="D185" s="7" t="s">
        <v>2829</v>
      </c>
      <c r="E185" s="7" t="s">
        <v>3787</v>
      </c>
      <c r="F185" s="7" t="s">
        <v>3788</v>
      </c>
      <c r="G185" s="7" t="s">
        <v>4056</v>
      </c>
      <c r="H185" s="7" t="s">
        <v>3789</v>
      </c>
      <c r="I185" s="7" t="s">
        <v>4057</v>
      </c>
      <c r="J185" s="7" t="s">
        <v>2830</v>
      </c>
      <c r="K185" s="7" t="str">
        <f>IFERROR(__xludf.DUMMYFUNCTION("IF(E185="""","""",TEXTJOIN(""|"",TRUE,FILTER('29_FUNCTION_STANDARD_MAP'!A$2:A$43,ISNUMBER(SEARCH(""|""&amp;E185&amp;""|"",""|""&amp;'29_FUNCTION_STANDARD_MAP'!E$2:E$43&amp;""|"")))))"),"F-UPB-01")</f>
        <v>F-UPB-01</v>
      </c>
      <c r="L185" s="7" t="str">
        <f>IFERROR(__xludf.DUMMYFUNCTION("IF(E185="""","""",TEXTJOIN(""|"",TRUE,UNIQUE(FILTER('29_FUNCTION_STANDARD_MAP'!B$2:B$43,ISNUMBER(SEARCH(""|""&amp;E185&amp;""|"",""|""&amp;'29_FUNCTION_STANDARD_MAP'!E$2:E$43&amp;""|""))))))"),"UPA_BAHASA")</f>
        <v>UPA_BAHASA</v>
      </c>
      <c r="M185" s="7" t="s">
        <v>1406</v>
      </c>
      <c r="N185" s="7" t="s">
        <v>2831</v>
      </c>
      <c r="O185" s="7" t="s">
        <v>1465</v>
      </c>
      <c r="P185" s="7">
        <v>2.0</v>
      </c>
      <c r="Q185" s="7" t="b">
        <v>1</v>
      </c>
      <c r="R185" s="7" t="s">
        <v>3558</v>
      </c>
      <c r="S185" s="7" t="s">
        <v>329</v>
      </c>
      <c r="T185" s="7" t="s">
        <v>4093</v>
      </c>
    </row>
    <row r="186">
      <c r="A186" s="7" t="s">
        <v>2832</v>
      </c>
      <c r="B186" s="7" t="s">
        <v>2833</v>
      </c>
      <c r="C186" s="7" t="s">
        <v>2808</v>
      </c>
      <c r="D186" s="7" t="s">
        <v>2834</v>
      </c>
      <c r="E186" s="7" t="s">
        <v>3787</v>
      </c>
      <c r="F186" s="7" t="s">
        <v>3788</v>
      </c>
      <c r="G186" s="7" t="s">
        <v>4056</v>
      </c>
      <c r="H186" s="7" t="s">
        <v>3789</v>
      </c>
      <c r="I186" s="7" t="s">
        <v>4057</v>
      </c>
      <c r="J186" s="7" t="s">
        <v>1727</v>
      </c>
      <c r="K186" s="7" t="str">
        <f>IFERROR(__xludf.DUMMYFUNCTION("IF(E186="""","""",TEXTJOIN(""|"",TRUE,FILTER('29_FUNCTION_STANDARD_MAP'!A$2:A$43,ISNUMBER(SEARCH(""|""&amp;E186&amp;""|"",""|""&amp;'29_FUNCTION_STANDARD_MAP'!E$2:E$43&amp;""|"")))))"),"F-UPB-01")</f>
        <v>F-UPB-01</v>
      </c>
      <c r="L186" s="7" t="str">
        <f>IFERROR(__xludf.DUMMYFUNCTION("IF(E186="""","""",TEXTJOIN(""|"",TRUE,UNIQUE(FILTER('29_FUNCTION_STANDARD_MAP'!B$2:B$43,ISNUMBER(SEARCH(""|""&amp;E186&amp;""|"",""|""&amp;'29_FUNCTION_STANDARD_MAP'!E$2:E$43&amp;""|""))))))"),"UPA_BAHASA")</f>
        <v>UPA_BAHASA</v>
      </c>
      <c r="M186" s="7" t="s">
        <v>1406</v>
      </c>
      <c r="N186" s="7" t="s">
        <v>2835</v>
      </c>
      <c r="O186" s="7" t="s">
        <v>1465</v>
      </c>
      <c r="P186" s="7">
        <v>2.0</v>
      </c>
      <c r="Q186" s="7" t="b">
        <v>1</v>
      </c>
      <c r="R186" s="7" t="s">
        <v>3558</v>
      </c>
      <c r="S186" s="7" t="s">
        <v>329</v>
      </c>
      <c r="T186" s="7" t="s">
        <v>4093</v>
      </c>
    </row>
    <row r="187">
      <c r="A187" s="7" t="s">
        <v>2836</v>
      </c>
      <c r="B187" s="7" t="s">
        <v>2837</v>
      </c>
      <c r="C187" s="7" t="s">
        <v>2808</v>
      </c>
      <c r="D187" s="7" t="s">
        <v>2838</v>
      </c>
      <c r="E187" s="7" t="s">
        <v>3787</v>
      </c>
      <c r="F187" s="7" t="s">
        <v>3788</v>
      </c>
      <c r="G187" s="7" t="s">
        <v>4056</v>
      </c>
      <c r="H187" s="7" t="s">
        <v>3789</v>
      </c>
      <c r="I187" s="7" t="s">
        <v>4057</v>
      </c>
      <c r="J187" s="7" t="s">
        <v>2145</v>
      </c>
      <c r="K187" s="7" t="str">
        <f>IFERROR(__xludf.DUMMYFUNCTION("IF(E187="""","""",TEXTJOIN(""|"",TRUE,FILTER('29_FUNCTION_STANDARD_MAP'!A$2:A$43,ISNUMBER(SEARCH(""|""&amp;E187&amp;""|"",""|""&amp;'29_FUNCTION_STANDARD_MAP'!E$2:E$43&amp;""|"")))))"),"F-UPB-01")</f>
        <v>F-UPB-01</v>
      </c>
      <c r="L187" s="7" t="str">
        <f>IFERROR(__xludf.DUMMYFUNCTION("IF(E187="""","""",TEXTJOIN(""|"",TRUE,UNIQUE(FILTER('29_FUNCTION_STANDARD_MAP'!B$2:B$43,ISNUMBER(SEARCH(""|""&amp;E187&amp;""|"",""|""&amp;'29_FUNCTION_STANDARD_MAP'!E$2:E$43&amp;""|""))))))"),"UPA_BAHASA")</f>
        <v>UPA_BAHASA</v>
      </c>
      <c r="M187" s="7" t="s">
        <v>1406</v>
      </c>
      <c r="N187" s="7" t="s">
        <v>2839</v>
      </c>
      <c r="O187" s="7" t="s">
        <v>1465</v>
      </c>
      <c r="P187" s="7">
        <v>2.0</v>
      </c>
      <c r="Q187" s="7" t="b">
        <v>1</v>
      </c>
      <c r="R187" s="7" t="s">
        <v>3558</v>
      </c>
      <c r="S187" s="7" t="s">
        <v>329</v>
      </c>
      <c r="T187" s="7" t="s">
        <v>4093</v>
      </c>
    </row>
    <row r="188">
      <c r="A188" s="7" t="s">
        <v>2840</v>
      </c>
      <c r="B188" s="7" t="s">
        <v>2841</v>
      </c>
      <c r="C188" s="7" t="s">
        <v>2842</v>
      </c>
      <c r="D188" s="7" t="s">
        <v>2843</v>
      </c>
      <c r="E188" s="7" t="s">
        <v>3798</v>
      </c>
      <c r="F188" s="7" t="s">
        <v>3799</v>
      </c>
      <c r="G188" s="7" t="s">
        <v>4060</v>
      </c>
      <c r="H188" s="7" t="s">
        <v>3800</v>
      </c>
      <c r="I188" s="7" t="s">
        <v>4061</v>
      </c>
      <c r="J188" s="7" t="s">
        <v>2844</v>
      </c>
      <c r="K188" s="7" t="str">
        <f>IFERROR(__xludf.DUMMYFUNCTION("IF(E188="""","""",TEXTJOIN(""|"",TRUE,FILTER('29_FUNCTION_STANDARD_MAP'!A$2:A$43,ISNUMBER(SEARCH(""|""&amp;E188&amp;""|"",""|""&amp;'29_FUNCTION_STANDARD_MAP'!E$2:E$43&amp;""|"")))))"),"F-WD3-01|F-UPK-01|F-UPK-02")</f>
        <v>F-WD3-01|F-UPK-01|F-UPK-02</v>
      </c>
      <c r="L188" s="7" t="str">
        <f>IFERROR(__xludf.DUMMYFUNCTION("IF(E188="""","""",TEXTJOIN(""|"",TRUE,UNIQUE(FILTER('29_FUNCTION_STANDARD_MAP'!B$2:B$43,ISNUMBER(SEARCH(""|""&amp;E188&amp;""|"",""|""&amp;'29_FUNCTION_STANDARD_MAP'!E$2:E$43&amp;""|""))))))"),"WADIR3|UPA_KARIR")</f>
        <v>WADIR3|UPA_KARIR</v>
      </c>
      <c r="M188" s="7" t="s">
        <v>1410</v>
      </c>
      <c r="N188" s="7" t="s">
        <v>2845</v>
      </c>
      <c r="O188" s="7" t="s">
        <v>1465</v>
      </c>
      <c r="P188" s="7">
        <v>2.0</v>
      </c>
      <c r="Q188" s="7" t="b">
        <v>1</v>
      </c>
      <c r="R188" s="7" t="s">
        <v>3558</v>
      </c>
      <c r="S188" s="7" t="s">
        <v>329</v>
      </c>
      <c r="T188" s="7" t="s">
        <v>4093</v>
      </c>
    </row>
    <row r="189">
      <c r="A189" s="7" t="s">
        <v>2846</v>
      </c>
      <c r="B189" s="7" t="s">
        <v>2847</v>
      </c>
      <c r="C189" s="7" t="s">
        <v>2842</v>
      </c>
      <c r="D189" s="7" t="s">
        <v>2848</v>
      </c>
      <c r="E189" s="7" t="s">
        <v>3798</v>
      </c>
      <c r="F189" s="7" t="s">
        <v>3799</v>
      </c>
      <c r="G189" s="7" t="s">
        <v>4060</v>
      </c>
      <c r="H189" s="7" t="s">
        <v>3800</v>
      </c>
      <c r="I189" s="7" t="s">
        <v>4061</v>
      </c>
      <c r="J189" s="7" t="s">
        <v>1701</v>
      </c>
      <c r="K189" s="7" t="str">
        <f>IFERROR(__xludf.DUMMYFUNCTION("IF(E189="""","""",TEXTJOIN(""|"",TRUE,FILTER('29_FUNCTION_STANDARD_MAP'!A$2:A$43,ISNUMBER(SEARCH(""|""&amp;E189&amp;""|"",""|""&amp;'29_FUNCTION_STANDARD_MAP'!E$2:E$43&amp;""|"")))))"),"F-WD3-01|F-UPK-01|F-UPK-02")</f>
        <v>F-WD3-01|F-UPK-01|F-UPK-02</v>
      </c>
      <c r="L189" s="7" t="str">
        <f>IFERROR(__xludf.DUMMYFUNCTION("IF(E189="""","""",TEXTJOIN(""|"",TRUE,UNIQUE(FILTER('29_FUNCTION_STANDARD_MAP'!B$2:B$43,ISNUMBER(SEARCH(""|""&amp;E189&amp;""|"",""|""&amp;'29_FUNCTION_STANDARD_MAP'!E$2:E$43&amp;""|""))))))"),"WADIR3|UPA_KARIR")</f>
        <v>WADIR3|UPA_KARIR</v>
      </c>
      <c r="M189" s="7" t="s">
        <v>1410</v>
      </c>
      <c r="N189" s="7" t="s">
        <v>2849</v>
      </c>
      <c r="O189" s="7" t="s">
        <v>1465</v>
      </c>
      <c r="P189" s="7">
        <v>2.0</v>
      </c>
      <c r="Q189" s="7" t="b">
        <v>1</v>
      </c>
      <c r="R189" s="7" t="s">
        <v>3558</v>
      </c>
      <c r="S189" s="7" t="s">
        <v>329</v>
      </c>
      <c r="T189" s="7" t="s">
        <v>4093</v>
      </c>
    </row>
    <row r="190">
      <c r="A190" s="7" t="s">
        <v>2850</v>
      </c>
      <c r="B190" s="7" t="s">
        <v>2851</v>
      </c>
      <c r="C190" s="7" t="s">
        <v>2842</v>
      </c>
      <c r="D190" s="7" t="s">
        <v>2852</v>
      </c>
      <c r="E190" s="7" t="s">
        <v>3798</v>
      </c>
      <c r="F190" s="7" t="s">
        <v>3799</v>
      </c>
      <c r="G190" s="7" t="s">
        <v>4060</v>
      </c>
      <c r="H190" s="7" t="s">
        <v>3800</v>
      </c>
      <c r="I190" s="7" t="s">
        <v>4061</v>
      </c>
      <c r="J190" s="7">
        <v>8.6</v>
      </c>
      <c r="K190" s="7" t="str">
        <f>IFERROR(__xludf.DUMMYFUNCTION("IF(E190="""","""",TEXTJOIN(""|"",TRUE,FILTER('29_FUNCTION_STANDARD_MAP'!A$2:A$43,ISNUMBER(SEARCH(""|""&amp;E190&amp;""|"",""|""&amp;'29_FUNCTION_STANDARD_MAP'!E$2:E$43&amp;""|"")))))"),"F-WD3-01|F-UPK-01|F-UPK-02")</f>
        <v>F-WD3-01|F-UPK-01|F-UPK-02</v>
      </c>
      <c r="L190" s="7" t="str">
        <f>IFERROR(__xludf.DUMMYFUNCTION("IF(E190="""","""",TEXTJOIN(""|"",TRUE,UNIQUE(FILTER('29_FUNCTION_STANDARD_MAP'!B$2:B$43,ISNUMBER(SEARCH(""|""&amp;E190&amp;""|"",""|""&amp;'29_FUNCTION_STANDARD_MAP'!E$2:E$43&amp;""|""))))))"),"WADIR3|UPA_KARIR")</f>
        <v>WADIR3|UPA_KARIR</v>
      </c>
      <c r="M190" s="7" t="s">
        <v>1410</v>
      </c>
      <c r="N190" s="7" t="s">
        <v>2853</v>
      </c>
      <c r="O190" s="7" t="s">
        <v>1465</v>
      </c>
      <c r="P190" s="7">
        <v>2.0</v>
      </c>
      <c r="Q190" s="7" t="b">
        <v>1</v>
      </c>
      <c r="R190" s="7" t="s">
        <v>3558</v>
      </c>
      <c r="S190" s="7" t="s">
        <v>329</v>
      </c>
      <c r="T190" s="7" t="s">
        <v>4093</v>
      </c>
    </row>
    <row r="191">
      <c r="A191" s="7" t="s">
        <v>2854</v>
      </c>
      <c r="B191" s="7" t="s">
        <v>2855</v>
      </c>
      <c r="C191" s="7" t="s">
        <v>2842</v>
      </c>
      <c r="D191" s="7" t="s">
        <v>2856</v>
      </c>
      <c r="E191" s="7" t="s">
        <v>3798</v>
      </c>
      <c r="F191" s="7" t="s">
        <v>3799</v>
      </c>
      <c r="G191" s="7" t="s">
        <v>4060</v>
      </c>
      <c r="H191" s="7" t="s">
        <v>3800</v>
      </c>
      <c r="I191" s="7" t="s">
        <v>4061</v>
      </c>
      <c r="J191" s="7" t="s">
        <v>2857</v>
      </c>
      <c r="K191" s="7" t="str">
        <f>IFERROR(__xludf.DUMMYFUNCTION("IF(E191="""","""",TEXTJOIN(""|"",TRUE,FILTER('29_FUNCTION_STANDARD_MAP'!A$2:A$43,ISNUMBER(SEARCH(""|""&amp;E191&amp;""|"",""|""&amp;'29_FUNCTION_STANDARD_MAP'!E$2:E$43&amp;""|"")))))"),"F-WD3-01|F-UPK-01|F-UPK-02")</f>
        <v>F-WD3-01|F-UPK-01|F-UPK-02</v>
      </c>
      <c r="L191" s="7" t="str">
        <f>IFERROR(__xludf.DUMMYFUNCTION("IF(E191="""","""",TEXTJOIN(""|"",TRUE,UNIQUE(FILTER('29_FUNCTION_STANDARD_MAP'!B$2:B$43,ISNUMBER(SEARCH(""|""&amp;E191&amp;""|"",""|""&amp;'29_FUNCTION_STANDARD_MAP'!E$2:E$43&amp;""|""))))))"),"WADIR3|UPA_KARIR")</f>
        <v>WADIR3|UPA_KARIR</v>
      </c>
      <c r="M191" s="7" t="s">
        <v>1410</v>
      </c>
      <c r="N191" s="7" t="s">
        <v>2611</v>
      </c>
      <c r="O191" s="7" t="s">
        <v>1465</v>
      </c>
      <c r="P191" s="7">
        <v>2.0</v>
      </c>
      <c r="Q191" s="7" t="b">
        <v>1</v>
      </c>
      <c r="R191" s="7" t="s">
        <v>3558</v>
      </c>
      <c r="S191" s="7" t="s">
        <v>329</v>
      </c>
      <c r="T191" s="7" t="s">
        <v>4093</v>
      </c>
    </row>
    <row r="192">
      <c r="A192" s="7" t="s">
        <v>2858</v>
      </c>
      <c r="B192" s="7" t="s">
        <v>2859</v>
      </c>
      <c r="C192" s="7" t="s">
        <v>2842</v>
      </c>
      <c r="D192" s="7" t="s">
        <v>2860</v>
      </c>
      <c r="E192" s="7" t="s">
        <v>3798</v>
      </c>
      <c r="F192" s="7" t="s">
        <v>3799</v>
      </c>
      <c r="G192" s="7" t="s">
        <v>4060</v>
      </c>
      <c r="H192" s="7" t="s">
        <v>3800</v>
      </c>
      <c r="I192" s="7" t="s">
        <v>4061</v>
      </c>
      <c r="J192" s="7" t="s">
        <v>2589</v>
      </c>
      <c r="K192" s="7" t="str">
        <f>IFERROR(__xludf.DUMMYFUNCTION("IF(E192="""","""",TEXTJOIN(""|"",TRUE,FILTER('29_FUNCTION_STANDARD_MAP'!A$2:A$43,ISNUMBER(SEARCH(""|""&amp;E192&amp;""|"",""|""&amp;'29_FUNCTION_STANDARD_MAP'!E$2:E$43&amp;""|"")))))"),"F-WD3-01|F-UPK-01|F-UPK-02")</f>
        <v>F-WD3-01|F-UPK-01|F-UPK-02</v>
      </c>
      <c r="L192" s="7" t="str">
        <f>IFERROR(__xludf.DUMMYFUNCTION("IF(E192="""","""",TEXTJOIN(""|"",TRUE,UNIQUE(FILTER('29_FUNCTION_STANDARD_MAP'!B$2:B$43,ISNUMBER(SEARCH(""|""&amp;E192&amp;""|"",""|""&amp;'29_FUNCTION_STANDARD_MAP'!E$2:E$43&amp;""|""))))))"),"WADIR3|UPA_KARIR")</f>
        <v>WADIR3|UPA_KARIR</v>
      </c>
      <c r="M192" s="7" t="s">
        <v>1410</v>
      </c>
      <c r="N192" s="7" t="s">
        <v>2861</v>
      </c>
      <c r="O192" s="7" t="s">
        <v>1465</v>
      </c>
      <c r="P192" s="7">
        <v>2.0</v>
      </c>
      <c r="Q192" s="7" t="b">
        <v>1</v>
      </c>
      <c r="R192" s="7" t="s">
        <v>3558</v>
      </c>
      <c r="S192" s="7" t="s">
        <v>329</v>
      </c>
      <c r="T192" s="7" t="s">
        <v>4093</v>
      </c>
    </row>
    <row r="193">
      <c r="A193" s="7" t="s">
        <v>2862</v>
      </c>
      <c r="B193" s="7" t="s">
        <v>2863</v>
      </c>
      <c r="C193" s="7" t="s">
        <v>2842</v>
      </c>
      <c r="D193" s="7" t="s">
        <v>2864</v>
      </c>
      <c r="E193" s="7" t="s">
        <v>3798</v>
      </c>
      <c r="F193" s="7" t="s">
        <v>3799</v>
      </c>
      <c r="G193" s="7" t="s">
        <v>4060</v>
      </c>
      <c r="H193" s="7" t="s">
        <v>3800</v>
      </c>
      <c r="I193" s="7" t="s">
        <v>4061</v>
      </c>
      <c r="J193" s="7" t="s">
        <v>2865</v>
      </c>
      <c r="K193" s="7" t="str">
        <f>IFERROR(__xludf.DUMMYFUNCTION("IF(E193="""","""",TEXTJOIN(""|"",TRUE,FILTER('29_FUNCTION_STANDARD_MAP'!A$2:A$43,ISNUMBER(SEARCH(""|""&amp;E193&amp;""|"",""|""&amp;'29_FUNCTION_STANDARD_MAP'!E$2:E$43&amp;""|"")))))"),"F-WD3-01|F-UPK-01|F-UPK-02")</f>
        <v>F-WD3-01|F-UPK-01|F-UPK-02</v>
      </c>
      <c r="L193" s="7" t="str">
        <f>IFERROR(__xludf.DUMMYFUNCTION("IF(E193="""","""",TEXTJOIN(""|"",TRUE,UNIQUE(FILTER('29_FUNCTION_STANDARD_MAP'!B$2:B$43,ISNUMBER(SEARCH(""|""&amp;E193&amp;""|"",""|""&amp;'29_FUNCTION_STANDARD_MAP'!E$2:E$43&amp;""|""))))))"),"WADIR3|UPA_KARIR")</f>
        <v>WADIR3|UPA_KARIR</v>
      </c>
      <c r="M193" s="7" t="s">
        <v>1410</v>
      </c>
      <c r="N193" s="7" t="s">
        <v>2866</v>
      </c>
      <c r="O193" s="7" t="s">
        <v>1465</v>
      </c>
      <c r="P193" s="7">
        <v>2.0</v>
      </c>
      <c r="Q193" s="7" t="b">
        <v>1</v>
      </c>
      <c r="R193" s="7" t="s">
        <v>3558</v>
      </c>
      <c r="S193" s="7" t="s">
        <v>329</v>
      </c>
      <c r="T193" s="7" t="s">
        <v>4093</v>
      </c>
    </row>
    <row r="194">
      <c r="A194" s="7" t="s">
        <v>2867</v>
      </c>
      <c r="B194" s="7" t="s">
        <v>2868</v>
      </c>
      <c r="C194" s="7" t="s">
        <v>2842</v>
      </c>
      <c r="D194" s="7" t="s">
        <v>2869</v>
      </c>
      <c r="E194" s="7" t="s">
        <v>3798</v>
      </c>
      <c r="F194" s="7" t="s">
        <v>3799</v>
      </c>
      <c r="G194" s="7" t="s">
        <v>4060</v>
      </c>
      <c r="H194" s="7" t="s">
        <v>3800</v>
      </c>
      <c r="I194" s="7" t="s">
        <v>4061</v>
      </c>
      <c r="J194" s="7" t="s">
        <v>2610</v>
      </c>
      <c r="K194" s="7" t="str">
        <f>IFERROR(__xludf.DUMMYFUNCTION("IF(E194="""","""",TEXTJOIN(""|"",TRUE,FILTER('29_FUNCTION_STANDARD_MAP'!A$2:A$43,ISNUMBER(SEARCH(""|""&amp;E194&amp;""|"",""|""&amp;'29_FUNCTION_STANDARD_MAP'!E$2:E$43&amp;""|"")))))"),"F-WD3-01|F-UPK-01|F-UPK-02")</f>
        <v>F-WD3-01|F-UPK-01|F-UPK-02</v>
      </c>
      <c r="L194" s="7" t="str">
        <f>IFERROR(__xludf.DUMMYFUNCTION("IF(E194="""","""",TEXTJOIN(""|"",TRUE,UNIQUE(FILTER('29_FUNCTION_STANDARD_MAP'!B$2:B$43,ISNUMBER(SEARCH(""|""&amp;E194&amp;""|"",""|""&amp;'29_FUNCTION_STANDARD_MAP'!E$2:E$43&amp;""|""))))))"),"WADIR3|UPA_KARIR")</f>
        <v>WADIR3|UPA_KARIR</v>
      </c>
      <c r="M194" s="7" t="s">
        <v>1410</v>
      </c>
      <c r="N194" s="7" t="s">
        <v>2870</v>
      </c>
      <c r="O194" s="7" t="s">
        <v>1465</v>
      </c>
      <c r="P194" s="7">
        <v>2.0</v>
      </c>
      <c r="Q194" s="7" t="b">
        <v>1</v>
      </c>
      <c r="R194" s="7" t="s">
        <v>3558</v>
      </c>
      <c r="S194" s="7" t="s">
        <v>329</v>
      </c>
      <c r="T194" s="7" t="s">
        <v>4093</v>
      </c>
    </row>
    <row r="195">
      <c r="A195" s="7" t="s">
        <v>2871</v>
      </c>
      <c r="B195" s="7" t="s">
        <v>2872</v>
      </c>
      <c r="C195" s="7" t="s">
        <v>2842</v>
      </c>
      <c r="D195" s="7" t="s">
        <v>2873</v>
      </c>
      <c r="E195" s="7" t="s">
        <v>3798</v>
      </c>
      <c r="F195" s="7" t="s">
        <v>3799</v>
      </c>
      <c r="G195" s="7" t="s">
        <v>4060</v>
      </c>
      <c r="H195" s="7" t="s">
        <v>3800</v>
      </c>
      <c r="I195" s="7" t="s">
        <v>4061</v>
      </c>
      <c r="J195" s="7" t="s">
        <v>1760</v>
      </c>
      <c r="K195" s="7" t="str">
        <f>IFERROR(__xludf.DUMMYFUNCTION("IF(E195="""","""",TEXTJOIN(""|"",TRUE,FILTER('29_FUNCTION_STANDARD_MAP'!A$2:A$43,ISNUMBER(SEARCH(""|""&amp;E195&amp;""|"",""|""&amp;'29_FUNCTION_STANDARD_MAP'!E$2:E$43&amp;""|"")))))"),"F-WD3-01|F-UPK-01|F-UPK-02")</f>
        <v>F-WD3-01|F-UPK-01|F-UPK-02</v>
      </c>
      <c r="L195" s="7" t="str">
        <f>IFERROR(__xludf.DUMMYFUNCTION("IF(E195="""","""",TEXTJOIN(""|"",TRUE,UNIQUE(FILTER('29_FUNCTION_STANDARD_MAP'!B$2:B$43,ISNUMBER(SEARCH(""|""&amp;E195&amp;""|"",""|""&amp;'29_FUNCTION_STANDARD_MAP'!E$2:E$43&amp;""|""))))))"),"WADIR3|UPA_KARIR")</f>
        <v>WADIR3|UPA_KARIR</v>
      </c>
      <c r="M195" s="7" t="s">
        <v>1410</v>
      </c>
      <c r="N195" s="7" t="s">
        <v>2874</v>
      </c>
      <c r="O195" s="7" t="s">
        <v>1465</v>
      </c>
      <c r="P195" s="7">
        <v>2.0</v>
      </c>
      <c r="Q195" s="7" t="b">
        <v>1</v>
      </c>
      <c r="R195" s="7" t="s">
        <v>3558</v>
      </c>
      <c r="S195" s="7" t="s">
        <v>329</v>
      </c>
      <c r="T195" s="7" t="s">
        <v>4093</v>
      </c>
    </row>
    <row r="196">
      <c r="A196" s="7" t="s">
        <v>2875</v>
      </c>
      <c r="B196" s="7" t="s">
        <v>2876</v>
      </c>
      <c r="C196" s="7" t="s">
        <v>2842</v>
      </c>
      <c r="D196" s="7" t="s">
        <v>2877</v>
      </c>
      <c r="E196" s="7" t="s">
        <v>3798</v>
      </c>
      <c r="F196" s="7" t="s">
        <v>3799</v>
      </c>
      <c r="G196" s="7" t="s">
        <v>4060</v>
      </c>
      <c r="H196" s="7" t="s">
        <v>3800</v>
      </c>
      <c r="I196" s="7" t="s">
        <v>4061</v>
      </c>
      <c r="J196" s="7" t="s">
        <v>2158</v>
      </c>
      <c r="K196" s="7" t="str">
        <f>IFERROR(__xludf.DUMMYFUNCTION("IF(E196="""","""",TEXTJOIN(""|"",TRUE,FILTER('29_FUNCTION_STANDARD_MAP'!A$2:A$43,ISNUMBER(SEARCH(""|""&amp;E196&amp;""|"",""|""&amp;'29_FUNCTION_STANDARD_MAP'!E$2:E$43&amp;""|"")))))"),"F-WD3-01|F-UPK-01|F-UPK-02")</f>
        <v>F-WD3-01|F-UPK-01|F-UPK-02</v>
      </c>
      <c r="L196" s="7" t="str">
        <f>IFERROR(__xludf.DUMMYFUNCTION("IF(E196="""","""",TEXTJOIN(""|"",TRUE,UNIQUE(FILTER('29_FUNCTION_STANDARD_MAP'!B$2:B$43,ISNUMBER(SEARCH(""|""&amp;E196&amp;""|"",""|""&amp;'29_FUNCTION_STANDARD_MAP'!E$2:E$43&amp;""|""))))))"),"WADIR3|UPA_KARIR")</f>
        <v>WADIR3|UPA_KARIR</v>
      </c>
      <c r="M196" s="7" t="s">
        <v>1410</v>
      </c>
      <c r="N196" s="7" t="s">
        <v>2878</v>
      </c>
      <c r="O196" s="7" t="s">
        <v>1465</v>
      </c>
      <c r="P196" s="7">
        <v>2.0</v>
      </c>
      <c r="Q196" s="7" t="b">
        <v>1</v>
      </c>
      <c r="R196" s="7" t="s">
        <v>3558</v>
      </c>
      <c r="S196" s="7" t="s">
        <v>329</v>
      </c>
      <c r="T196" s="7" t="s">
        <v>4093</v>
      </c>
    </row>
    <row r="197">
      <c r="A197" s="7" t="s">
        <v>2879</v>
      </c>
      <c r="B197" s="7" t="s">
        <v>2880</v>
      </c>
      <c r="C197" s="7" t="s">
        <v>2842</v>
      </c>
      <c r="D197" s="7" t="s">
        <v>2881</v>
      </c>
      <c r="E197" s="7" t="s">
        <v>3798</v>
      </c>
      <c r="F197" s="7" t="s">
        <v>3799</v>
      </c>
      <c r="G197" s="7" t="s">
        <v>4060</v>
      </c>
      <c r="H197" s="7" t="s">
        <v>3800</v>
      </c>
      <c r="I197" s="7" t="s">
        <v>4061</v>
      </c>
      <c r="J197" s="7" t="s">
        <v>1760</v>
      </c>
      <c r="K197" s="7" t="str">
        <f>IFERROR(__xludf.DUMMYFUNCTION("IF(E197="""","""",TEXTJOIN(""|"",TRUE,FILTER('29_FUNCTION_STANDARD_MAP'!A$2:A$43,ISNUMBER(SEARCH(""|""&amp;E197&amp;""|"",""|""&amp;'29_FUNCTION_STANDARD_MAP'!E$2:E$43&amp;""|"")))))"),"F-WD3-01|F-UPK-01|F-UPK-02")</f>
        <v>F-WD3-01|F-UPK-01|F-UPK-02</v>
      </c>
      <c r="L197" s="7" t="str">
        <f>IFERROR(__xludf.DUMMYFUNCTION("IF(E197="""","""",TEXTJOIN(""|"",TRUE,UNIQUE(FILTER('29_FUNCTION_STANDARD_MAP'!B$2:B$43,ISNUMBER(SEARCH(""|""&amp;E197&amp;""|"",""|""&amp;'29_FUNCTION_STANDARD_MAP'!E$2:E$43&amp;""|""))))))"),"WADIR3|UPA_KARIR")</f>
        <v>WADIR3|UPA_KARIR</v>
      </c>
      <c r="M197" s="7" t="s">
        <v>1410</v>
      </c>
      <c r="N197" s="7" t="s">
        <v>2882</v>
      </c>
      <c r="O197" s="7" t="s">
        <v>1465</v>
      </c>
      <c r="P197" s="7">
        <v>2.0</v>
      </c>
      <c r="Q197" s="7" t="b">
        <v>1</v>
      </c>
      <c r="R197" s="7" t="s">
        <v>3558</v>
      </c>
      <c r="S197" s="7" t="s">
        <v>329</v>
      </c>
      <c r="T197" s="7" t="s">
        <v>4093</v>
      </c>
    </row>
    <row r="198">
      <c r="A198" s="7" t="s">
        <v>2883</v>
      </c>
      <c r="B198" s="7" t="s">
        <v>2884</v>
      </c>
      <c r="C198" s="7" t="s">
        <v>2885</v>
      </c>
      <c r="D198" s="7" t="s">
        <v>2886</v>
      </c>
      <c r="E198" s="7" t="s">
        <v>3811</v>
      </c>
      <c r="F198" s="7" t="s">
        <v>3812</v>
      </c>
      <c r="G198" s="7" t="s">
        <v>4064</v>
      </c>
      <c r="H198" s="7" t="s">
        <v>3789</v>
      </c>
      <c r="I198" s="7" t="s">
        <v>4065</v>
      </c>
      <c r="J198" s="7" t="s">
        <v>1701</v>
      </c>
      <c r="K198" s="7" t="str">
        <f>IFERROR(__xludf.DUMMYFUNCTION("IF(E198="""","""",TEXTJOIN(""|"",TRUE,FILTER('29_FUNCTION_STANDARD_MAP'!A$2:A$43,ISNUMBER(SEARCH(""|""&amp;E198&amp;""|"",""|""&amp;'29_FUNCTION_STANDARD_MAP'!E$2:E$43&amp;""|"")))))"),"F-UPUK-01")</f>
        <v>F-UPUK-01</v>
      </c>
      <c r="L198" s="7" t="str">
        <f>IFERROR(__xludf.DUMMYFUNCTION("IF(E198="""","""",TEXTJOIN(""|"",TRUE,UNIQUE(FILTER('29_FUNCTION_STANDARD_MAP'!B$2:B$43,ISNUMBER(SEARCH(""|""&amp;E198&amp;""|"",""|""&amp;'29_FUNCTION_STANDARD_MAP'!E$2:E$43&amp;""|""))))))"),"UPA_UKOM")</f>
        <v>UPA_UKOM</v>
      </c>
      <c r="M198" s="7" t="s">
        <v>1414</v>
      </c>
      <c r="N198" s="7" t="s">
        <v>2887</v>
      </c>
      <c r="O198" s="7" t="s">
        <v>1465</v>
      </c>
      <c r="P198" s="7">
        <v>2.0</v>
      </c>
      <c r="Q198" s="7" t="b">
        <v>1</v>
      </c>
      <c r="R198" s="7" t="s">
        <v>3558</v>
      </c>
      <c r="S198" s="7" t="s">
        <v>329</v>
      </c>
      <c r="T198" s="7" t="s">
        <v>4093</v>
      </c>
    </row>
    <row r="199">
      <c r="A199" s="7" t="s">
        <v>2888</v>
      </c>
      <c r="B199" s="7" t="s">
        <v>2889</v>
      </c>
      <c r="C199" s="7" t="s">
        <v>2885</v>
      </c>
      <c r="D199" s="7" t="s">
        <v>2890</v>
      </c>
      <c r="E199" s="7" t="s">
        <v>3811</v>
      </c>
      <c r="F199" s="7" t="s">
        <v>3812</v>
      </c>
      <c r="G199" s="7" t="s">
        <v>4064</v>
      </c>
      <c r="H199" s="7" t="s">
        <v>3789</v>
      </c>
      <c r="I199" s="7" t="s">
        <v>4065</v>
      </c>
      <c r="J199" s="7">
        <v>7.2</v>
      </c>
      <c r="K199" s="7" t="str">
        <f>IFERROR(__xludf.DUMMYFUNCTION("IF(E199="""","""",TEXTJOIN(""|"",TRUE,FILTER('29_FUNCTION_STANDARD_MAP'!A$2:A$43,ISNUMBER(SEARCH(""|""&amp;E199&amp;""|"",""|""&amp;'29_FUNCTION_STANDARD_MAP'!E$2:E$43&amp;""|"")))))"),"F-UPUK-01")</f>
        <v>F-UPUK-01</v>
      </c>
      <c r="L199" s="7" t="str">
        <f>IFERROR(__xludf.DUMMYFUNCTION("IF(E199="""","""",TEXTJOIN(""|"",TRUE,UNIQUE(FILTER('29_FUNCTION_STANDARD_MAP'!B$2:B$43,ISNUMBER(SEARCH(""|""&amp;E199&amp;""|"",""|""&amp;'29_FUNCTION_STANDARD_MAP'!E$2:E$43&amp;""|""))))))"),"UPA_UKOM")</f>
        <v>UPA_UKOM</v>
      </c>
      <c r="M199" s="7" t="s">
        <v>1414</v>
      </c>
      <c r="N199" s="7" t="s">
        <v>2891</v>
      </c>
      <c r="O199" s="7" t="s">
        <v>1465</v>
      </c>
      <c r="P199" s="7">
        <v>2.0</v>
      </c>
      <c r="Q199" s="7" t="b">
        <v>1</v>
      </c>
      <c r="R199" s="7" t="s">
        <v>3558</v>
      </c>
      <c r="S199" s="7" t="s">
        <v>329</v>
      </c>
      <c r="T199" s="7" t="s">
        <v>4093</v>
      </c>
    </row>
    <row r="200">
      <c r="A200" s="7" t="s">
        <v>2892</v>
      </c>
      <c r="B200" s="7" t="s">
        <v>2893</v>
      </c>
      <c r="C200" s="7" t="s">
        <v>2885</v>
      </c>
      <c r="D200" s="7" t="s">
        <v>2894</v>
      </c>
      <c r="E200" s="7" t="s">
        <v>3811</v>
      </c>
      <c r="F200" s="7" t="s">
        <v>3812</v>
      </c>
      <c r="G200" s="7" t="s">
        <v>4064</v>
      </c>
      <c r="H200" s="7" t="s">
        <v>3789</v>
      </c>
      <c r="I200" s="7" t="s">
        <v>4065</v>
      </c>
      <c r="J200" s="7" t="s">
        <v>2895</v>
      </c>
      <c r="K200" s="7" t="str">
        <f>IFERROR(__xludf.DUMMYFUNCTION("IF(E200="""","""",TEXTJOIN(""|"",TRUE,FILTER('29_FUNCTION_STANDARD_MAP'!A$2:A$43,ISNUMBER(SEARCH(""|""&amp;E200&amp;""|"",""|""&amp;'29_FUNCTION_STANDARD_MAP'!E$2:E$43&amp;""|"")))))"),"F-UPUK-01")</f>
        <v>F-UPUK-01</v>
      </c>
      <c r="L200" s="7" t="str">
        <f>IFERROR(__xludf.DUMMYFUNCTION("IF(E200="""","""",TEXTJOIN(""|"",TRUE,UNIQUE(FILTER('29_FUNCTION_STANDARD_MAP'!B$2:B$43,ISNUMBER(SEARCH(""|""&amp;E200&amp;""|"",""|""&amp;'29_FUNCTION_STANDARD_MAP'!E$2:E$43&amp;""|""))))))"),"UPA_UKOM")</f>
        <v>UPA_UKOM</v>
      </c>
      <c r="M200" s="7" t="s">
        <v>1414</v>
      </c>
      <c r="N200" s="7" t="s">
        <v>2896</v>
      </c>
      <c r="O200" s="7" t="s">
        <v>1465</v>
      </c>
      <c r="P200" s="7">
        <v>2.0</v>
      </c>
      <c r="Q200" s="7" t="b">
        <v>1</v>
      </c>
      <c r="R200" s="7" t="s">
        <v>3558</v>
      </c>
      <c r="S200" s="7" t="s">
        <v>329</v>
      </c>
      <c r="T200" s="7" t="s">
        <v>4093</v>
      </c>
    </row>
    <row r="201">
      <c r="A201" s="7" t="s">
        <v>2897</v>
      </c>
      <c r="B201" s="7" t="s">
        <v>2898</v>
      </c>
      <c r="C201" s="7" t="s">
        <v>2885</v>
      </c>
      <c r="D201" s="7" t="s">
        <v>2899</v>
      </c>
      <c r="E201" s="7" t="s">
        <v>3811</v>
      </c>
      <c r="F201" s="7" t="s">
        <v>3812</v>
      </c>
      <c r="G201" s="7" t="s">
        <v>4064</v>
      </c>
      <c r="H201" s="7" t="s">
        <v>3789</v>
      </c>
      <c r="I201" s="7" t="s">
        <v>4065</v>
      </c>
      <c r="J201" s="7" t="s">
        <v>2044</v>
      </c>
      <c r="K201" s="7" t="str">
        <f>IFERROR(__xludf.DUMMYFUNCTION("IF(E201="""","""",TEXTJOIN(""|"",TRUE,FILTER('29_FUNCTION_STANDARD_MAP'!A$2:A$43,ISNUMBER(SEARCH(""|""&amp;E201&amp;""|"",""|""&amp;'29_FUNCTION_STANDARD_MAP'!E$2:E$43&amp;""|"")))))"),"F-UPUK-01")</f>
        <v>F-UPUK-01</v>
      </c>
      <c r="L201" s="7" t="str">
        <f>IFERROR(__xludf.DUMMYFUNCTION("IF(E201="""","""",TEXTJOIN(""|"",TRUE,UNIQUE(FILTER('29_FUNCTION_STANDARD_MAP'!B$2:B$43,ISNUMBER(SEARCH(""|""&amp;E201&amp;""|"",""|""&amp;'29_FUNCTION_STANDARD_MAP'!E$2:E$43&amp;""|""))))))"),"UPA_UKOM")</f>
        <v>UPA_UKOM</v>
      </c>
      <c r="M201" s="7" t="s">
        <v>1414</v>
      </c>
      <c r="N201" s="7" t="s">
        <v>2900</v>
      </c>
      <c r="O201" s="7" t="s">
        <v>1465</v>
      </c>
      <c r="P201" s="7">
        <v>2.0</v>
      </c>
      <c r="Q201" s="7" t="b">
        <v>1</v>
      </c>
      <c r="R201" s="7" t="s">
        <v>3558</v>
      </c>
      <c r="S201" s="7" t="s">
        <v>329</v>
      </c>
      <c r="T201" s="7" t="s">
        <v>4093</v>
      </c>
    </row>
    <row r="202">
      <c r="A202" s="7" t="s">
        <v>2901</v>
      </c>
      <c r="B202" s="7" t="s">
        <v>2902</v>
      </c>
      <c r="C202" s="7" t="s">
        <v>2885</v>
      </c>
      <c r="D202" s="7" t="s">
        <v>2903</v>
      </c>
      <c r="E202" s="7" t="s">
        <v>3811</v>
      </c>
      <c r="F202" s="7" t="s">
        <v>3812</v>
      </c>
      <c r="G202" s="7" t="s">
        <v>4064</v>
      </c>
      <c r="H202" s="7" t="s">
        <v>3789</v>
      </c>
      <c r="I202" s="7" t="s">
        <v>4065</v>
      </c>
      <c r="J202" s="7" t="s">
        <v>2904</v>
      </c>
      <c r="K202" s="7" t="str">
        <f>IFERROR(__xludf.DUMMYFUNCTION("IF(E202="""","""",TEXTJOIN(""|"",TRUE,FILTER('29_FUNCTION_STANDARD_MAP'!A$2:A$43,ISNUMBER(SEARCH(""|""&amp;E202&amp;""|"",""|""&amp;'29_FUNCTION_STANDARD_MAP'!E$2:E$43&amp;""|"")))))"),"F-UPUK-01")</f>
        <v>F-UPUK-01</v>
      </c>
      <c r="L202" s="7" t="str">
        <f>IFERROR(__xludf.DUMMYFUNCTION("IF(E202="""","""",TEXTJOIN(""|"",TRUE,UNIQUE(FILTER('29_FUNCTION_STANDARD_MAP'!B$2:B$43,ISNUMBER(SEARCH(""|""&amp;E202&amp;""|"",""|""&amp;'29_FUNCTION_STANDARD_MAP'!E$2:E$43&amp;""|""))))))"),"UPA_UKOM")</f>
        <v>UPA_UKOM</v>
      </c>
      <c r="M202" s="7" t="s">
        <v>1414</v>
      </c>
      <c r="N202" s="7" t="s">
        <v>2905</v>
      </c>
      <c r="O202" s="7" t="s">
        <v>1465</v>
      </c>
      <c r="P202" s="7">
        <v>2.0</v>
      </c>
      <c r="Q202" s="7" t="b">
        <v>1</v>
      </c>
      <c r="R202" s="7" t="s">
        <v>3558</v>
      </c>
      <c r="S202" s="7" t="s">
        <v>329</v>
      </c>
      <c r="T202" s="7" t="s">
        <v>4093</v>
      </c>
    </row>
    <row r="203">
      <c r="A203" s="7" t="s">
        <v>2906</v>
      </c>
      <c r="B203" s="7" t="s">
        <v>2907</v>
      </c>
      <c r="C203" s="7" t="s">
        <v>2885</v>
      </c>
      <c r="D203" s="7" t="s">
        <v>2908</v>
      </c>
      <c r="E203" s="7" t="s">
        <v>3811</v>
      </c>
      <c r="F203" s="7" t="s">
        <v>3812</v>
      </c>
      <c r="G203" s="7" t="s">
        <v>4064</v>
      </c>
      <c r="H203" s="7" t="s">
        <v>3789</v>
      </c>
      <c r="I203" s="7" t="s">
        <v>4065</v>
      </c>
      <c r="J203" s="7" t="s">
        <v>2909</v>
      </c>
      <c r="K203" s="7" t="str">
        <f>IFERROR(__xludf.DUMMYFUNCTION("IF(E203="""","""",TEXTJOIN(""|"",TRUE,FILTER('29_FUNCTION_STANDARD_MAP'!A$2:A$43,ISNUMBER(SEARCH(""|""&amp;E203&amp;""|"",""|""&amp;'29_FUNCTION_STANDARD_MAP'!E$2:E$43&amp;""|"")))))"),"F-UPUK-01")</f>
        <v>F-UPUK-01</v>
      </c>
      <c r="L203" s="7" t="str">
        <f>IFERROR(__xludf.DUMMYFUNCTION("IF(E203="""","""",TEXTJOIN(""|"",TRUE,UNIQUE(FILTER('29_FUNCTION_STANDARD_MAP'!B$2:B$43,ISNUMBER(SEARCH(""|""&amp;E203&amp;""|"",""|""&amp;'29_FUNCTION_STANDARD_MAP'!E$2:E$43&amp;""|""))))))"),"UPA_UKOM")</f>
        <v>UPA_UKOM</v>
      </c>
      <c r="M203" s="7" t="s">
        <v>1414</v>
      </c>
      <c r="N203" s="7" t="s">
        <v>2910</v>
      </c>
      <c r="O203" s="7" t="s">
        <v>1465</v>
      </c>
      <c r="P203" s="7">
        <v>2.0</v>
      </c>
      <c r="Q203" s="7" t="b">
        <v>1</v>
      </c>
      <c r="R203" s="7" t="s">
        <v>3558</v>
      </c>
      <c r="S203" s="7" t="s">
        <v>329</v>
      </c>
      <c r="T203" s="7" t="s">
        <v>4093</v>
      </c>
    </row>
    <row r="204">
      <c r="A204" s="7" t="s">
        <v>2911</v>
      </c>
      <c r="B204" s="7" t="s">
        <v>2912</v>
      </c>
      <c r="C204" s="7" t="s">
        <v>2885</v>
      </c>
      <c r="D204" s="7" t="s">
        <v>2913</v>
      </c>
      <c r="E204" s="7" t="s">
        <v>3811</v>
      </c>
      <c r="F204" s="7" t="s">
        <v>3812</v>
      </c>
      <c r="G204" s="7" t="s">
        <v>4064</v>
      </c>
      <c r="H204" s="7" t="s">
        <v>3789</v>
      </c>
      <c r="I204" s="7" t="s">
        <v>4065</v>
      </c>
      <c r="J204" s="7" t="s">
        <v>2822</v>
      </c>
      <c r="K204" s="7" t="str">
        <f>IFERROR(__xludf.DUMMYFUNCTION("IF(E204="""","""",TEXTJOIN(""|"",TRUE,FILTER('29_FUNCTION_STANDARD_MAP'!A$2:A$43,ISNUMBER(SEARCH(""|""&amp;E204&amp;""|"",""|""&amp;'29_FUNCTION_STANDARD_MAP'!E$2:E$43&amp;""|"")))))"),"F-UPUK-01")</f>
        <v>F-UPUK-01</v>
      </c>
      <c r="L204" s="7" t="str">
        <f>IFERROR(__xludf.DUMMYFUNCTION("IF(E204="""","""",TEXTJOIN(""|"",TRUE,UNIQUE(FILTER('29_FUNCTION_STANDARD_MAP'!B$2:B$43,ISNUMBER(SEARCH(""|""&amp;E204&amp;""|"",""|""&amp;'29_FUNCTION_STANDARD_MAP'!E$2:E$43&amp;""|""))))))"),"UPA_UKOM")</f>
        <v>UPA_UKOM</v>
      </c>
      <c r="M204" s="7" t="s">
        <v>1414</v>
      </c>
      <c r="N204" s="7" t="s">
        <v>2914</v>
      </c>
      <c r="O204" s="7" t="s">
        <v>1465</v>
      </c>
      <c r="P204" s="7">
        <v>2.0</v>
      </c>
      <c r="Q204" s="7" t="b">
        <v>1</v>
      </c>
      <c r="R204" s="7" t="s">
        <v>3558</v>
      </c>
      <c r="S204" s="7" t="s">
        <v>329</v>
      </c>
      <c r="T204" s="7" t="s">
        <v>4093</v>
      </c>
    </row>
    <row r="205">
      <c r="A205" s="7" t="s">
        <v>2915</v>
      </c>
      <c r="B205" s="7" t="s">
        <v>2916</v>
      </c>
      <c r="C205" s="7" t="s">
        <v>2885</v>
      </c>
      <c r="D205" s="7" t="s">
        <v>2917</v>
      </c>
      <c r="E205" s="7" t="s">
        <v>3811</v>
      </c>
      <c r="F205" s="7" t="s">
        <v>3812</v>
      </c>
      <c r="G205" s="7" t="s">
        <v>4064</v>
      </c>
      <c r="H205" s="7" t="s">
        <v>3789</v>
      </c>
      <c r="I205" s="7" t="s">
        <v>4065</v>
      </c>
      <c r="J205" s="7" t="s">
        <v>2145</v>
      </c>
      <c r="K205" s="7" t="str">
        <f>IFERROR(__xludf.DUMMYFUNCTION("IF(E205="""","""",TEXTJOIN(""|"",TRUE,FILTER('29_FUNCTION_STANDARD_MAP'!A$2:A$43,ISNUMBER(SEARCH(""|""&amp;E205&amp;""|"",""|""&amp;'29_FUNCTION_STANDARD_MAP'!E$2:E$43&amp;""|"")))))"),"F-UPUK-01")</f>
        <v>F-UPUK-01</v>
      </c>
      <c r="L205" s="7" t="str">
        <f>IFERROR(__xludf.DUMMYFUNCTION("IF(E205="""","""",TEXTJOIN(""|"",TRUE,UNIQUE(FILTER('29_FUNCTION_STANDARD_MAP'!B$2:B$43,ISNUMBER(SEARCH(""|""&amp;E205&amp;""|"",""|""&amp;'29_FUNCTION_STANDARD_MAP'!E$2:E$43&amp;""|""))))))"),"UPA_UKOM")</f>
        <v>UPA_UKOM</v>
      </c>
      <c r="M205" s="7" t="s">
        <v>1414</v>
      </c>
      <c r="N205" s="7" t="s">
        <v>2918</v>
      </c>
      <c r="O205" s="7" t="s">
        <v>1465</v>
      </c>
      <c r="P205" s="7">
        <v>2.0</v>
      </c>
      <c r="Q205" s="7" t="b">
        <v>1</v>
      </c>
      <c r="R205" s="7" t="s">
        <v>3558</v>
      </c>
      <c r="S205" s="7" t="s">
        <v>329</v>
      </c>
      <c r="T205" s="7" t="s">
        <v>4093</v>
      </c>
    </row>
    <row r="206">
      <c r="A206" s="7" t="s">
        <v>2919</v>
      </c>
      <c r="B206" s="7" t="s">
        <v>2920</v>
      </c>
      <c r="C206" s="7" t="s">
        <v>2885</v>
      </c>
      <c r="D206" s="7" t="s">
        <v>2921</v>
      </c>
      <c r="E206" s="7" t="s">
        <v>3811</v>
      </c>
      <c r="F206" s="7" t="s">
        <v>3812</v>
      </c>
      <c r="G206" s="7" t="s">
        <v>4064</v>
      </c>
      <c r="H206" s="7" t="s">
        <v>3789</v>
      </c>
      <c r="I206" s="7" t="s">
        <v>4065</v>
      </c>
      <c r="J206" s="7" t="s">
        <v>2470</v>
      </c>
      <c r="K206" s="7" t="str">
        <f>IFERROR(__xludf.DUMMYFUNCTION("IF(E206="""","""",TEXTJOIN(""|"",TRUE,FILTER('29_FUNCTION_STANDARD_MAP'!A$2:A$43,ISNUMBER(SEARCH(""|""&amp;E206&amp;""|"",""|""&amp;'29_FUNCTION_STANDARD_MAP'!E$2:E$43&amp;""|"")))))"),"F-UPUK-01")</f>
        <v>F-UPUK-01</v>
      </c>
      <c r="L206" s="7" t="str">
        <f>IFERROR(__xludf.DUMMYFUNCTION("IF(E206="""","""",TEXTJOIN(""|"",TRUE,UNIQUE(FILTER('29_FUNCTION_STANDARD_MAP'!B$2:B$43,ISNUMBER(SEARCH(""|""&amp;E206&amp;""|"",""|""&amp;'29_FUNCTION_STANDARD_MAP'!E$2:E$43&amp;""|""))))))"),"UPA_UKOM")</f>
        <v>UPA_UKOM</v>
      </c>
      <c r="M206" s="7" t="s">
        <v>1414</v>
      </c>
      <c r="N206" s="7" t="s">
        <v>2922</v>
      </c>
      <c r="O206" s="7" t="s">
        <v>1465</v>
      </c>
      <c r="P206" s="7">
        <v>2.0</v>
      </c>
      <c r="Q206" s="7" t="b">
        <v>1</v>
      </c>
      <c r="R206" s="7" t="s">
        <v>3558</v>
      </c>
      <c r="S206" s="7" t="s">
        <v>329</v>
      </c>
      <c r="T206" s="7" t="s">
        <v>4093</v>
      </c>
    </row>
    <row r="207">
      <c r="A207" s="7" t="s">
        <v>2923</v>
      </c>
      <c r="B207" s="7" t="s">
        <v>2924</v>
      </c>
      <c r="C207" s="7" t="s">
        <v>2885</v>
      </c>
      <c r="D207" s="7" t="s">
        <v>2925</v>
      </c>
      <c r="E207" s="7" t="s">
        <v>3811</v>
      </c>
      <c r="F207" s="7" t="s">
        <v>3812</v>
      </c>
      <c r="G207" s="7" t="s">
        <v>4064</v>
      </c>
      <c r="H207" s="7" t="s">
        <v>3789</v>
      </c>
      <c r="I207" s="7" t="s">
        <v>4065</v>
      </c>
      <c r="J207" s="7" t="s">
        <v>2926</v>
      </c>
      <c r="K207" s="7" t="str">
        <f>IFERROR(__xludf.DUMMYFUNCTION("IF(E207="""","""",TEXTJOIN(""|"",TRUE,FILTER('29_FUNCTION_STANDARD_MAP'!A$2:A$43,ISNUMBER(SEARCH(""|""&amp;E207&amp;""|"",""|""&amp;'29_FUNCTION_STANDARD_MAP'!E$2:E$43&amp;""|"")))))"),"F-UPUK-01")</f>
        <v>F-UPUK-01</v>
      </c>
      <c r="L207" s="7" t="str">
        <f>IFERROR(__xludf.DUMMYFUNCTION("IF(E207="""","""",TEXTJOIN(""|"",TRUE,UNIQUE(FILTER('29_FUNCTION_STANDARD_MAP'!B$2:B$43,ISNUMBER(SEARCH(""|""&amp;E207&amp;""|"",""|""&amp;'29_FUNCTION_STANDARD_MAP'!E$2:E$43&amp;""|""))))))"),"UPA_UKOM")</f>
        <v>UPA_UKOM</v>
      </c>
      <c r="M207" s="7" t="s">
        <v>1414</v>
      </c>
      <c r="N207" s="7" t="s">
        <v>2927</v>
      </c>
      <c r="O207" s="7" t="s">
        <v>1465</v>
      </c>
      <c r="P207" s="7">
        <v>2.0</v>
      </c>
      <c r="Q207" s="7" t="b">
        <v>1</v>
      </c>
      <c r="R207" s="7" t="s">
        <v>3558</v>
      </c>
      <c r="S207" s="7" t="s">
        <v>329</v>
      </c>
      <c r="T207" s="7" t="s">
        <v>4093</v>
      </c>
    </row>
    <row r="208">
      <c r="A208" s="7" t="s">
        <v>2928</v>
      </c>
      <c r="B208" s="7" t="s">
        <v>2929</v>
      </c>
      <c r="C208" s="7" t="s">
        <v>1379</v>
      </c>
      <c r="D208" s="7" t="s">
        <v>2930</v>
      </c>
      <c r="E208" s="7" t="s">
        <v>3823</v>
      </c>
      <c r="F208" s="7" t="s">
        <v>3824</v>
      </c>
      <c r="G208" s="7" t="s">
        <v>4068</v>
      </c>
      <c r="H208" s="7" t="s">
        <v>3825</v>
      </c>
      <c r="I208" s="7" t="s">
        <v>4069</v>
      </c>
      <c r="J208" s="7" t="s">
        <v>2610</v>
      </c>
      <c r="K208" s="7" t="str">
        <f>IFERROR(__xludf.DUMMYFUNCTION("IF(E208="""","""",TEXTJOIN(""|"",TRUE,FILTER('29_FUNCTION_STANDARD_MAP'!A$2:A$43,ISNUMBER(SEARCH(""|""&amp;E208&amp;""|"",""|""&amp;'29_FUNCTION_STANDARD_MAP'!E$2:E$43&amp;""|"")))))"),"F-P3M-01|F-P3M-02")</f>
        <v>F-P3M-01|F-P3M-02</v>
      </c>
      <c r="L208" s="7" t="str">
        <f>IFERROR(__xludf.DUMMYFUNCTION("IF(E208="""","""",TEXTJOIN(""|"",TRUE,UNIQUE(FILTER('29_FUNCTION_STANDARD_MAP'!B$2:B$43,ISNUMBER(SEARCH(""|""&amp;E208&amp;""|"",""|""&amp;'29_FUNCTION_STANDARD_MAP'!E$2:E$43&amp;""|""))))))"),"P3M")</f>
        <v>P3M</v>
      </c>
      <c r="M208" s="7" t="s">
        <v>1379</v>
      </c>
      <c r="N208" s="7" t="s">
        <v>2931</v>
      </c>
      <c r="O208" s="7" t="s">
        <v>1465</v>
      </c>
      <c r="P208" s="7">
        <v>2.0</v>
      </c>
      <c r="Q208" s="7" t="b">
        <v>1</v>
      </c>
      <c r="R208" s="7" t="s">
        <v>3558</v>
      </c>
      <c r="S208" s="7" t="s">
        <v>329</v>
      </c>
      <c r="T208" s="7" t="s">
        <v>4093</v>
      </c>
    </row>
    <row r="209">
      <c r="A209" s="7" t="s">
        <v>2932</v>
      </c>
      <c r="B209" s="7" t="s">
        <v>2933</v>
      </c>
      <c r="C209" s="7" t="s">
        <v>1379</v>
      </c>
      <c r="D209" s="7" t="s">
        <v>2934</v>
      </c>
      <c r="E209" s="7" t="s">
        <v>3823</v>
      </c>
      <c r="F209" s="7" t="s">
        <v>3824</v>
      </c>
      <c r="G209" s="7" t="s">
        <v>4068</v>
      </c>
      <c r="H209" s="7" t="s">
        <v>3825</v>
      </c>
      <c r="I209" s="7" t="s">
        <v>4069</v>
      </c>
      <c r="J209" s="7" t="s">
        <v>2584</v>
      </c>
      <c r="K209" s="7" t="str">
        <f>IFERROR(__xludf.DUMMYFUNCTION("IF(E209="""","""",TEXTJOIN(""|"",TRUE,FILTER('29_FUNCTION_STANDARD_MAP'!A$2:A$43,ISNUMBER(SEARCH(""|""&amp;E209&amp;""|"",""|""&amp;'29_FUNCTION_STANDARD_MAP'!E$2:E$43&amp;""|"")))))"),"F-P3M-01|F-P3M-02")</f>
        <v>F-P3M-01|F-P3M-02</v>
      </c>
      <c r="L209" s="7" t="str">
        <f>IFERROR(__xludf.DUMMYFUNCTION("IF(E209="""","""",TEXTJOIN(""|"",TRUE,UNIQUE(FILTER('29_FUNCTION_STANDARD_MAP'!B$2:B$43,ISNUMBER(SEARCH(""|""&amp;E209&amp;""|"",""|""&amp;'29_FUNCTION_STANDARD_MAP'!E$2:E$43&amp;""|""))))))"),"P3M")</f>
        <v>P3M</v>
      </c>
      <c r="M209" s="7" t="s">
        <v>1379</v>
      </c>
      <c r="N209" s="7" t="s">
        <v>2935</v>
      </c>
      <c r="O209" s="7" t="s">
        <v>1465</v>
      </c>
      <c r="P209" s="7">
        <v>2.0</v>
      </c>
      <c r="Q209" s="7" t="b">
        <v>1</v>
      </c>
      <c r="R209" s="7" t="s">
        <v>3558</v>
      </c>
      <c r="S209" s="7" t="s">
        <v>329</v>
      </c>
      <c r="T209" s="7" t="s">
        <v>4093</v>
      </c>
    </row>
    <row r="210">
      <c r="A210" s="7" t="s">
        <v>2936</v>
      </c>
      <c r="B210" s="7" t="s">
        <v>2937</v>
      </c>
      <c r="C210" s="7" t="s">
        <v>1379</v>
      </c>
      <c r="D210" s="7" t="s">
        <v>2938</v>
      </c>
      <c r="E210" s="7" t="s">
        <v>3823</v>
      </c>
      <c r="F210" s="7" t="s">
        <v>3824</v>
      </c>
      <c r="G210" s="7" t="s">
        <v>4068</v>
      </c>
      <c r="H210" s="7" t="s">
        <v>3825</v>
      </c>
      <c r="I210" s="7" t="s">
        <v>4069</v>
      </c>
      <c r="J210" s="7">
        <v>5.3</v>
      </c>
      <c r="K210" s="7" t="str">
        <f>IFERROR(__xludf.DUMMYFUNCTION("IF(E210="""","""",TEXTJOIN(""|"",TRUE,FILTER('29_FUNCTION_STANDARD_MAP'!A$2:A$43,ISNUMBER(SEARCH(""|""&amp;E210&amp;""|"",""|""&amp;'29_FUNCTION_STANDARD_MAP'!E$2:E$43&amp;""|"")))))"),"F-P3M-01|F-P3M-02")</f>
        <v>F-P3M-01|F-P3M-02</v>
      </c>
      <c r="L210" s="7" t="str">
        <f>IFERROR(__xludf.DUMMYFUNCTION("IF(E210="""","""",TEXTJOIN(""|"",TRUE,UNIQUE(FILTER('29_FUNCTION_STANDARD_MAP'!B$2:B$43,ISNUMBER(SEARCH(""|""&amp;E210&amp;""|"",""|""&amp;'29_FUNCTION_STANDARD_MAP'!E$2:E$43&amp;""|""))))))"),"P3M")</f>
        <v>P3M</v>
      </c>
      <c r="M210" s="7" t="s">
        <v>1379</v>
      </c>
      <c r="N210" s="7" t="s">
        <v>2910</v>
      </c>
      <c r="O210" s="7" t="s">
        <v>1465</v>
      </c>
      <c r="P210" s="7">
        <v>2.0</v>
      </c>
      <c r="Q210" s="7" t="b">
        <v>1</v>
      </c>
      <c r="R210" s="7" t="s">
        <v>3558</v>
      </c>
      <c r="S210" s="7" t="s">
        <v>329</v>
      </c>
      <c r="T210" s="7" t="s">
        <v>4093</v>
      </c>
    </row>
    <row r="211">
      <c r="A211" s="7" t="s">
        <v>2939</v>
      </c>
      <c r="B211" s="7" t="s">
        <v>2940</v>
      </c>
      <c r="C211" s="7" t="s">
        <v>1379</v>
      </c>
      <c r="D211" s="7" t="s">
        <v>2941</v>
      </c>
      <c r="E211" s="7" t="s">
        <v>3823</v>
      </c>
      <c r="F211" s="7" t="s">
        <v>3824</v>
      </c>
      <c r="G211" s="7" t="s">
        <v>4068</v>
      </c>
      <c r="H211" s="7" t="s">
        <v>3825</v>
      </c>
      <c r="I211" s="7" t="s">
        <v>4069</v>
      </c>
      <c r="J211" s="7" t="s">
        <v>2942</v>
      </c>
      <c r="K211" s="7" t="str">
        <f>IFERROR(__xludf.DUMMYFUNCTION("IF(E211="""","""",TEXTJOIN(""|"",TRUE,FILTER('29_FUNCTION_STANDARD_MAP'!A$2:A$43,ISNUMBER(SEARCH(""|""&amp;E211&amp;""|"",""|""&amp;'29_FUNCTION_STANDARD_MAP'!E$2:E$43&amp;""|"")))))"),"F-P3M-01|F-P3M-02")</f>
        <v>F-P3M-01|F-P3M-02</v>
      </c>
      <c r="L211" s="7" t="str">
        <f>IFERROR(__xludf.DUMMYFUNCTION("IF(E211="""","""",TEXTJOIN(""|"",TRUE,UNIQUE(FILTER('29_FUNCTION_STANDARD_MAP'!B$2:B$43,ISNUMBER(SEARCH(""|""&amp;E211&amp;""|"",""|""&amp;'29_FUNCTION_STANDARD_MAP'!E$2:E$43&amp;""|""))))))"),"P3M")</f>
        <v>P3M</v>
      </c>
      <c r="M211" s="7" t="s">
        <v>1379</v>
      </c>
      <c r="N211" s="7" t="s">
        <v>2943</v>
      </c>
      <c r="O211" s="7" t="s">
        <v>1465</v>
      </c>
      <c r="P211" s="7">
        <v>2.0</v>
      </c>
      <c r="Q211" s="7" t="b">
        <v>1</v>
      </c>
      <c r="R211" s="7" t="s">
        <v>3558</v>
      </c>
      <c r="S211" s="7" t="s">
        <v>329</v>
      </c>
      <c r="T211" s="7" t="s">
        <v>4093</v>
      </c>
    </row>
    <row r="212">
      <c r="A212" s="7" t="s">
        <v>2944</v>
      </c>
      <c r="B212" s="7" t="s">
        <v>2945</v>
      </c>
      <c r="C212" s="7" t="s">
        <v>1379</v>
      </c>
      <c r="D212" s="7" t="s">
        <v>2946</v>
      </c>
      <c r="E212" s="7" t="s">
        <v>3823</v>
      </c>
      <c r="F212" s="7" t="s">
        <v>3824</v>
      </c>
      <c r="G212" s="7" t="s">
        <v>4068</v>
      </c>
      <c r="H212" s="7" t="s">
        <v>3825</v>
      </c>
      <c r="I212" s="7" t="s">
        <v>4069</v>
      </c>
      <c r="J212" s="7" t="s">
        <v>1760</v>
      </c>
      <c r="K212" s="7" t="str">
        <f>IFERROR(__xludf.DUMMYFUNCTION("IF(E212="""","""",TEXTJOIN(""|"",TRUE,FILTER('29_FUNCTION_STANDARD_MAP'!A$2:A$43,ISNUMBER(SEARCH(""|""&amp;E212&amp;""|"",""|""&amp;'29_FUNCTION_STANDARD_MAP'!E$2:E$43&amp;""|"")))))"),"F-P3M-01|F-P3M-02")</f>
        <v>F-P3M-01|F-P3M-02</v>
      </c>
      <c r="L212" s="7" t="str">
        <f>IFERROR(__xludf.DUMMYFUNCTION("IF(E212="""","""",TEXTJOIN(""|"",TRUE,UNIQUE(FILTER('29_FUNCTION_STANDARD_MAP'!B$2:B$43,ISNUMBER(SEARCH(""|""&amp;E212&amp;""|"",""|""&amp;'29_FUNCTION_STANDARD_MAP'!E$2:E$43&amp;""|""))))))"),"P3M")</f>
        <v>P3M</v>
      </c>
      <c r="M212" s="7" t="s">
        <v>1379</v>
      </c>
      <c r="N212" s="7" t="s">
        <v>2947</v>
      </c>
      <c r="O212" s="7" t="s">
        <v>1465</v>
      </c>
      <c r="P212" s="7">
        <v>2.0</v>
      </c>
      <c r="Q212" s="7" t="b">
        <v>1</v>
      </c>
      <c r="R212" s="7" t="s">
        <v>3558</v>
      </c>
      <c r="S212" s="7" t="s">
        <v>329</v>
      </c>
      <c r="T212" s="7" t="s">
        <v>4093</v>
      </c>
    </row>
    <row r="213">
      <c r="A213" s="7" t="s">
        <v>2948</v>
      </c>
      <c r="B213" s="7" t="s">
        <v>2949</v>
      </c>
      <c r="C213" s="7" t="s">
        <v>1379</v>
      </c>
      <c r="D213" s="7" t="s">
        <v>2950</v>
      </c>
      <c r="E213" s="7" t="s">
        <v>3823</v>
      </c>
      <c r="F213" s="7" t="s">
        <v>3824</v>
      </c>
      <c r="G213" s="7" t="s">
        <v>4068</v>
      </c>
      <c r="H213" s="7" t="s">
        <v>3825</v>
      </c>
      <c r="I213" s="7" t="s">
        <v>4069</v>
      </c>
      <c r="J213" s="7" t="s">
        <v>1747</v>
      </c>
      <c r="K213" s="7" t="str">
        <f>IFERROR(__xludf.DUMMYFUNCTION("IF(E213="""","""",TEXTJOIN(""|"",TRUE,FILTER('29_FUNCTION_STANDARD_MAP'!A$2:A$43,ISNUMBER(SEARCH(""|""&amp;E213&amp;""|"",""|""&amp;'29_FUNCTION_STANDARD_MAP'!E$2:E$43&amp;""|"")))))"),"F-P3M-01|F-P3M-02")</f>
        <v>F-P3M-01|F-P3M-02</v>
      </c>
      <c r="L213" s="7" t="str">
        <f>IFERROR(__xludf.DUMMYFUNCTION("IF(E213="""","""",TEXTJOIN(""|"",TRUE,UNIQUE(FILTER('29_FUNCTION_STANDARD_MAP'!B$2:B$43,ISNUMBER(SEARCH(""|""&amp;E213&amp;""|"",""|""&amp;'29_FUNCTION_STANDARD_MAP'!E$2:E$43&amp;""|""))))))"),"P3M")</f>
        <v>P3M</v>
      </c>
      <c r="M213" s="7" t="s">
        <v>1379</v>
      </c>
      <c r="N213" s="7" t="s">
        <v>2951</v>
      </c>
      <c r="O213" s="7" t="s">
        <v>1465</v>
      </c>
      <c r="P213" s="7">
        <v>2.0</v>
      </c>
      <c r="Q213" s="7" t="b">
        <v>1</v>
      </c>
      <c r="R213" s="7" t="s">
        <v>3558</v>
      </c>
      <c r="S213" s="7" t="s">
        <v>329</v>
      </c>
      <c r="T213" s="7" t="s">
        <v>4093</v>
      </c>
    </row>
    <row r="214">
      <c r="A214" s="7" t="s">
        <v>2952</v>
      </c>
      <c r="B214" s="7" t="s">
        <v>2953</v>
      </c>
      <c r="C214" s="7" t="s">
        <v>1379</v>
      </c>
      <c r="D214" s="7" t="s">
        <v>2954</v>
      </c>
      <c r="E214" s="7" t="s">
        <v>3823</v>
      </c>
      <c r="F214" s="7" t="s">
        <v>3824</v>
      </c>
      <c r="G214" s="7" t="s">
        <v>4068</v>
      </c>
      <c r="H214" s="7" t="s">
        <v>3825</v>
      </c>
      <c r="I214" s="7" t="s">
        <v>4069</v>
      </c>
      <c r="J214" s="7">
        <v>8.6</v>
      </c>
      <c r="K214" s="7" t="str">
        <f>IFERROR(__xludf.DUMMYFUNCTION("IF(E214="""","""",TEXTJOIN(""|"",TRUE,FILTER('29_FUNCTION_STANDARD_MAP'!A$2:A$43,ISNUMBER(SEARCH(""|""&amp;E214&amp;""|"",""|""&amp;'29_FUNCTION_STANDARD_MAP'!E$2:E$43&amp;""|"")))))"),"F-P3M-01|F-P3M-02")</f>
        <v>F-P3M-01|F-P3M-02</v>
      </c>
      <c r="L214" s="7" t="str">
        <f>IFERROR(__xludf.DUMMYFUNCTION("IF(E214="""","""",TEXTJOIN(""|"",TRUE,UNIQUE(FILTER('29_FUNCTION_STANDARD_MAP'!B$2:B$43,ISNUMBER(SEARCH(""|""&amp;E214&amp;""|"",""|""&amp;'29_FUNCTION_STANDARD_MAP'!E$2:E$43&amp;""|""))))))"),"P3M")</f>
        <v>P3M</v>
      </c>
      <c r="M214" s="7" t="s">
        <v>1379</v>
      </c>
      <c r="N214" s="7" t="s">
        <v>2955</v>
      </c>
      <c r="O214" s="7" t="s">
        <v>1465</v>
      </c>
      <c r="P214" s="7">
        <v>2.0</v>
      </c>
      <c r="Q214" s="7" t="b">
        <v>1</v>
      </c>
      <c r="R214" s="7" t="s">
        <v>3558</v>
      </c>
      <c r="S214" s="7" t="s">
        <v>329</v>
      </c>
      <c r="T214" s="7" t="s">
        <v>4093</v>
      </c>
    </row>
    <row r="215">
      <c r="A215" s="7" t="s">
        <v>2956</v>
      </c>
      <c r="B215" s="7" t="s">
        <v>2957</v>
      </c>
      <c r="C215" s="7" t="s">
        <v>1379</v>
      </c>
      <c r="D215" s="7" t="s">
        <v>2958</v>
      </c>
      <c r="E215" s="7" t="s">
        <v>3823</v>
      </c>
      <c r="F215" s="7" t="s">
        <v>3824</v>
      </c>
      <c r="G215" s="7" t="s">
        <v>4068</v>
      </c>
      <c r="H215" s="7" t="s">
        <v>3825</v>
      </c>
      <c r="I215" s="7" t="s">
        <v>4069</v>
      </c>
      <c r="J215" s="7" t="s">
        <v>2528</v>
      </c>
      <c r="K215" s="7" t="str">
        <f>IFERROR(__xludf.DUMMYFUNCTION("IF(E215="""","""",TEXTJOIN(""|"",TRUE,FILTER('29_FUNCTION_STANDARD_MAP'!A$2:A$43,ISNUMBER(SEARCH(""|""&amp;E215&amp;""|"",""|""&amp;'29_FUNCTION_STANDARD_MAP'!E$2:E$43&amp;""|"")))))"),"F-P3M-01|F-P3M-02")</f>
        <v>F-P3M-01|F-P3M-02</v>
      </c>
      <c r="L215" s="7" t="str">
        <f>IFERROR(__xludf.DUMMYFUNCTION("IF(E215="""","""",TEXTJOIN(""|"",TRUE,UNIQUE(FILTER('29_FUNCTION_STANDARD_MAP'!B$2:B$43,ISNUMBER(SEARCH(""|""&amp;E215&amp;""|"",""|""&amp;'29_FUNCTION_STANDARD_MAP'!E$2:E$43&amp;""|""))))))"),"P3M")</f>
        <v>P3M</v>
      </c>
      <c r="M215" s="7" t="s">
        <v>1379</v>
      </c>
      <c r="N215" s="7" t="s">
        <v>2959</v>
      </c>
      <c r="O215" s="7" t="s">
        <v>1465</v>
      </c>
      <c r="P215" s="7">
        <v>2.0</v>
      </c>
      <c r="Q215" s="7" t="b">
        <v>1</v>
      </c>
      <c r="R215" s="7" t="s">
        <v>3558</v>
      </c>
      <c r="S215" s="7" t="s">
        <v>329</v>
      </c>
      <c r="T215" s="7" t="s">
        <v>4093</v>
      </c>
    </row>
    <row r="216">
      <c r="A216" s="7" t="s">
        <v>2960</v>
      </c>
      <c r="B216" s="7" t="s">
        <v>2961</v>
      </c>
      <c r="C216" s="7" t="s">
        <v>1379</v>
      </c>
      <c r="D216" s="7" t="s">
        <v>2962</v>
      </c>
      <c r="E216" s="7" t="s">
        <v>3823</v>
      </c>
      <c r="F216" s="7" t="s">
        <v>3824</v>
      </c>
      <c r="G216" s="7" t="s">
        <v>4068</v>
      </c>
      <c r="H216" s="7" t="s">
        <v>3825</v>
      </c>
      <c r="I216" s="7" t="s">
        <v>4069</v>
      </c>
      <c r="J216" s="7" t="s">
        <v>2044</v>
      </c>
      <c r="K216" s="7" t="str">
        <f>IFERROR(__xludf.DUMMYFUNCTION("IF(E216="""","""",TEXTJOIN(""|"",TRUE,FILTER('29_FUNCTION_STANDARD_MAP'!A$2:A$43,ISNUMBER(SEARCH(""|""&amp;E216&amp;""|"",""|""&amp;'29_FUNCTION_STANDARD_MAP'!E$2:E$43&amp;""|"")))))"),"F-P3M-01|F-P3M-02")</f>
        <v>F-P3M-01|F-P3M-02</v>
      </c>
      <c r="L216" s="7" t="str">
        <f>IFERROR(__xludf.DUMMYFUNCTION("IF(E216="""","""",TEXTJOIN(""|"",TRUE,UNIQUE(FILTER('29_FUNCTION_STANDARD_MAP'!B$2:B$43,ISNUMBER(SEARCH(""|""&amp;E216&amp;""|"",""|""&amp;'29_FUNCTION_STANDARD_MAP'!E$2:E$43&amp;""|""))))))"),"P3M")</f>
        <v>P3M</v>
      </c>
      <c r="M216" s="7" t="s">
        <v>1379</v>
      </c>
      <c r="N216" s="7" t="s">
        <v>2963</v>
      </c>
      <c r="O216" s="7" t="s">
        <v>1465</v>
      </c>
      <c r="P216" s="7">
        <v>2.0</v>
      </c>
      <c r="Q216" s="7" t="b">
        <v>1</v>
      </c>
      <c r="R216" s="7" t="s">
        <v>3558</v>
      </c>
      <c r="S216" s="7" t="s">
        <v>329</v>
      </c>
      <c r="T216" s="7" t="s">
        <v>4093</v>
      </c>
    </row>
    <row r="217">
      <c r="A217" s="7" t="s">
        <v>2964</v>
      </c>
      <c r="B217" s="7" t="s">
        <v>2965</v>
      </c>
      <c r="C217" s="7" t="s">
        <v>1379</v>
      </c>
      <c r="D217" s="7" t="s">
        <v>2966</v>
      </c>
      <c r="E217" s="7" t="s">
        <v>3823</v>
      </c>
      <c r="F217" s="7" t="s">
        <v>3824</v>
      </c>
      <c r="G217" s="7" t="s">
        <v>4068</v>
      </c>
      <c r="H217" s="7" t="s">
        <v>3825</v>
      </c>
      <c r="I217" s="7" t="s">
        <v>4069</v>
      </c>
      <c r="J217" s="7">
        <v>10.3</v>
      </c>
      <c r="K217" s="7" t="str">
        <f>IFERROR(__xludf.DUMMYFUNCTION("IF(E217="""","""",TEXTJOIN(""|"",TRUE,FILTER('29_FUNCTION_STANDARD_MAP'!A$2:A$43,ISNUMBER(SEARCH(""|""&amp;E217&amp;""|"",""|""&amp;'29_FUNCTION_STANDARD_MAP'!E$2:E$43&amp;""|"")))))"),"F-P3M-01|F-P3M-02")</f>
        <v>F-P3M-01|F-P3M-02</v>
      </c>
      <c r="L217" s="7" t="str">
        <f>IFERROR(__xludf.DUMMYFUNCTION("IF(E217="""","""",TEXTJOIN(""|"",TRUE,UNIQUE(FILTER('29_FUNCTION_STANDARD_MAP'!B$2:B$43,ISNUMBER(SEARCH(""|""&amp;E217&amp;""|"",""|""&amp;'29_FUNCTION_STANDARD_MAP'!E$2:E$43&amp;""|""))))))"),"P3M")</f>
        <v>P3M</v>
      </c>
      <c r="M217" s="7" t="s">
        <v>1379</v>
      </c>
      <c r="N217" s="7" t="s">
        <v>2967</v>
      </c>
      <c r="O217" s="7" t="s">
        <v>1465</v>
      </c>
      <c r="P217" s="7">
        <v>2.0</v>
      </c>
      <c r="Q217" s="7" t="b">
        <v>1</v>
      </c>
      <c r="R217" s="7" t="s">
        <v>3558</v>
      </c>
      <c r="S217" s="7" t="s">
        <v>329</v>
      </c>
      <c r="T217" s="7" t="s">
        <v>4093</v>
      </c>
    </row>
    <row r="218">
      <c r="A218" s="7" t="s">
        <v>2968</v>
      </c>
      <c r="B218" s="7" t="s">
        <v>2969</v>
      </c>
      <c r="C218" s="7" t="s">
        <v>1383</v>
      </c>
      <c r="D218" s="7" t="s">
        <v>2970</v>
      </c>
      <c r="E218" s="7" t="s">
        <v>3836</v>
      </c>
      <c r="F218" s="7" t="s">
        <v>3837</v>
      </c>
      <c r="G218" s="7" t="s">
        <v>4072</v>
      </c>
      <c r="H218" s="7" t="s">
        <v>3838</v>
      </c>
      <c r="I218" s="7" t="s">
        <v>4073</v>
      </c>
      <c r="J218" s="7">
        <v>7.5</v>
      </c>
      <c r="K218" s="7" t="str">
        <f>IFERROR(__xludf.DUMMYFUNCTION("IF(E218="""","""",TEXTJOIN(""|"",TRUE,FILTER('29_FUNCTION_STANDARD_MAP'!A$2:A$43,ISNUMBER(SEARCH(""|""&amp;E218&amp;""|"",""|""&amp;'29_FUNCTION_STANDARD_MAP'!E$2:E$43&amp;""|"")))))"),"F-WD1-01|F-P4MP-01|F-P4MP-02")</f>
        <v>F-WD1-01|F-P4MP-01|F-P4MP-02</v>
      </c>
      <c r="L218" s="7" t="str">
        <f>IFERROR(__xludf.DUMMYFUNCTION("IF(E218="""","""",TEXTJOIN(""|"",TRUE,UNIQUE(FILTER('29_FUNCTION_STANDARD_MAP'!B$2:B$43,ISNUMBER(SEARCH(""|""&amp;E218&amp;""|"",""|""&amp;'29_FUNCTION_STANDARD_MAP'!E$2:E$43&amp;""|""))))))"),"WADIR1|P4MP")</f>
        <v>WADIR1|P4MP</v>
      </c>
      <c r="M218" s="7" t="s">
        <v>1383</v>
      </c>
      <c r="N218" s="7" t="s">
        <v>2971</v>
      </c>
      <c r="O218" s="7" t="s">
        <v>1452</v>
      </c>
      <c r="P218" s="7">
        <v>3.0</v>
      </c>
      <c r="Q218" s="7" t="b">
        <v>1</v>
      </c>
      <c r="R218" s="7" t="s">
        <v>3558</v>
      </c>
      <c r="S218" s="7" t="s">
        <v>329</v>
      </c>
      <c r="T218" s="7" t="s">
        <v>4093</v>
      </c>
    </row>
    <row r="219">
      <c r="A219" s="7" t="s">
        <v>2972</v>
      </c>
      <c r="B219" s="7" t="s">
        <v>2973</v>
      </c>
      <c r="C219" s="7" t="s">
        <v>1383</v>
      </c>
      <c r="D219" s="7" t="s">
        <v>2974</v>
      </c>
      <c r="E219" s="7" t="s">
        <v>3836</v>
      </c>
      <c r="F219" s="7" t="s">
        <v>3837</v>
      </c>
      <c r="G219" s="7" t="s">
        <v>4072</v>
      </c>
      <c r="H219" s="7" t="s">
        <v>3838</v>
      </c>
      <c r="I219" s="7" t="s">
        <v>4073</v>
      </c>
      <c r="J219" s="7" t="s">
        <v>2975</v>
      </c>
      <c r="K219" s="7" t="str">
        <f>IFERROR(__xludf.DUMMYFUNCTION("IF(E219="""","""",TEXTJOIN(""|"",TRUE,FILTER('29_FUNCTION_STANDARD_MAP'!A$2:A$43,ISNUMBER(SEARCH(""|""&amp;E219&amp;""|"",""|""&amp;'29_FUNCTION_STANDARD_MAP'!E$2:E$43&amp;""|"")))))"),"F-WD1-01|F-P4MP-01|F-P4MP-02")</f>
        <v>F-WD1-01|F-P4MP-01|F-P4MP-02</v>
      </c>
      <c r="L219" s="7" t="str">
        <f>IFERROR(__xludf.DUMMYFUNCTION("IF(E219="""","""",TEXTJOIN(""|"",TRUE,UNIQUE(FILTER('29_FUNCTION_STANDARD_MAP'!B$2:B$43,ISNUMBER(SEARCH(""|""&amp;E219&amp;""|"",""|""&amp;'29_FUNCTION_STANDARD_MAP'!E$2:E$43&amp;""|""))))))"),"WADIR1|P4MP")</f>
        <v>WADIR1|P4MP</v>
      </c>
      <c r="M219" s="7" t="s">
        <v>1383</v>
      </c>
      <c r="N219" s="7" t="s">
        <v>2976</v>
      </c>
      <c r="O219" s="7" t="s">
        <v>1452</v>
      </c>
      <c r="P219" s="7">
        <v>3.0</v>
      </c>
      <c r="Q219" s="7" t="b">
        <v>1</v>
      </c>
      <c r="R219" s="7" t="s">
        <v>3558</v>
      </c>
      <c r="S219" s="7" t="s">
        <v>329</v>
      </c>
      <c r="T219" s="7" t="s">
        <v>4093</v>
      </c>
    </row>
    <row r="220">
      <c r="A220" s="7" t="s">
        <v>2977</v>
      </c>
      <c r="B220" s="7" t="s">
        <v>2978</v>
      </c>
      <c r="C220" s="7" t="s">
        <v>1383</v>
      </c>
      <c r="D220" s="7" t="s">
        <v>2979</v>
      </c>
      <c r="E220" s="7" t="s">
        <v>3836</v>
      </c>
      <c r="F220" s="7" t="s">
        <v>3837</v>
      </c>
      <c r="G220" s="7" t="s">
        <v>4072</v>
      </c>
      <c r="H220" s="7" t="s">
        <v>3838</v>
      </c>
      <c r="I220" s="7" t="s">
        <v>4073</v>
      </c>
      <c r="J220" s="7" t="s">
        <v>2980</v>
      </c>
      <c r="K220" s="7" t="str">
        <f>IFERROR(__xludf.DUMMYFUNCTION("IF(E220="""","""",TEXTJOIN(""|"",TRUE,FILTER('29_FUNCTION_STANDARD_MAP'!A$2:A$43,ISNUMBER(SEARCH(""|""&amp;E220&amp;""|"",""|""&amp;'29_FUNCTION_STANDARD_MAP'!E$2:E$43&amp;""|"")))))"),"F-WD1-01|F-P4MP-01|F-P4MP-02")</f>
        <v>F-WD1-01|F-P4MP-01|F-P4MP-02</v>
      </c>
      <c r="L220" s="7" t="str">
        <f>IFERROR(__xludf.DUMMYFUNCTION("IF(E220="""","""",TEXTJOIN(""|"",TRUE,UNIQUE(FILTER('29_FUNCTION_STANDARD_MAP'!B$2:B$43,ISNUMBER(SEARCH(""|""&amp;E220&amp;""|"",""|""&amp;'29_FUNCTION_STANDARD_MAP'!E$2:E$43&amp;""|""))))))"),"WADIR1|P4MP")</f>
        <v>WADIR1|P4MP</v>
      </c>
      <c r="M220" s="7" t="s">
        <v>1383</v>
      </c>
      <c r="N220" s="7" t="s">
        <v>2981</v>
      </c>
      <c r="O220" s="7" t="s">
        <v>1452</v>
      </c>
      <c r="P220" s="7">
        <v>3.0</v>
      </c>
      <c r="Q220" s="7" t="b">
        <v>1</v>
      </c>
      <c r="R220" s="7" t="s">
        <v>3558</v>
      </c>
      <c r="S220" s="7" t="s">
        <v>329</v>
      </c>
      <c r="T220" s="7" t="s">
        <v>4093</v>
      </c>
    </row>
    <row r="221">
      <c r="A221" s="7" t="s">
        <v>2982</v>
      </c>
      <c r="B221" s="7" t="s">
        <v>2983</v>
      </c>
      <c r="C221" s="7" t="s">
        <v>1383</v>
      </c>
      <c r="D221" s="7" t="s">
        <v>2984</v>
      </c>
      <c r="E221" s="7" t="s">
        <v>3836</v>
      </c>
      <c r="F221" s="7" t="s">
        <v>3837</v>
      </c>
      <c r="G221" s="7" t="s">
        <v>4072</v>
      </c>
      <c r="H221" s="7" t="s">
        <v>3838</v>
      </c>
      <c r="I221" s="7" t="s">
        <v>4073</v>
      </c>
      <c r="J221" s="7" t="s">
        <v>2985</v>
      </c>
      <c r="K221" s="7" t="str">
        <f>IFERROR(__xludf.DUMMYFUNCTION("IF(E221="""","""",TEXTJOIN(""|"",TRUE,FILTER('29_FUNCTION_STANDARD_MAP'!A$2:A$43,ISNUMBER(SEARCH(""|""&amp;E221&amp;""|"",""|""&amp;'29_FUNCTION_STANDARD_MAP'!E$2:E$43&amp;""|"")))))"),"F-WD1-01|F-P4MP-01|F-P4MP-02")</f>
        <v>F-WD1-01|F-P4MP-01|F-P4MP-02</v>
      </c>
      <c r="L221" s="7" t="str">
        <f>IFERROR(__xludf.DUMMYFUNCTION("IF(E221="""","""",TEXTJOIN(""|"",TRUE,UNIQUE(FILTER('29_FUNCTION_STANDARD_MAP'!B$2:B$43,ISNUMBER(SEARCH(""|""&amp;E221&amp;""|"",""|""&amp;'29_FUNCTION_STANDARD_MAP'!E$2:E$43&amp;""|""))))))"),"WADIR1|P4MP")</f>
        <v>WADIR1|P4MP</v>
      </c>
      <c r="M221" s="7" t="s">
        <v>1383</v>
      </c>
      <c r="N221" s="7" t="s">
        <v>2986</v>
      </c>
      <c r="O221" s="7" t="s">
        <v>1452</v>
      </c>
      <c r="P221" s="7">
        <v>3.0</v>
      </c>
      <c r="Q221" s="7" t="b">
        <v>1</v>
      </c>
      <c r="R221" s="7" t="s">
        <v>3558</v>
      </c>
      <c r="S221" s="7" t="s">
        <v>329</v>
      </c>
      <c r="T221" s="7" t="s">
        <v>4093</v>
      </c>
    </row>
    <row r="222">
      <c r="A222" s="7" t="s">
        <v>2987</v>
      </c>
      <c r="B222" s="7" t="s">
        <v>2988</v>
      </c>
      <c r="C222" s="7" t="s">
        <v>1383</v>
      </c>
      <c r="D222" s="7" t="s">
        <v>2989</v>
      </c>
      <c r="E222" s="7" t="s">
        <v>3836</v>
      </c>
      <c r="F222" s="7" t="s">
        <v>3837</v>
      </c>
      <c r="G222" s="7" t="s">
        <v>4072</v>
      </c>
      <c r="H222" s="7" t="s">
        <v>3838</v>
      </c>
      <c r="I222" s="7" t="s">
        <v>4073</v>
      </c>
      <c r="J222" s="7" t="s">
        <v>2990</v>
      </c>
      <c r="K222" s="7" t="str">
        <f>IFERROR(__xludf.DUMMYFUNCTION("IF(E222="""","""",TEXTJOIN(""|"",TRUE,FILTER('29_FUNCTION_STANDARD_MAP'!A$2:A$43,ISNUMBER(SEARCH(""|""&amp;E222&amp;""|"",""|""&amp;'29_FUNCTION_STANDARD_MAP'!E$2:E$43&amp;""|"")))))"),"F-WD1-01|F-P4MP-01|F-P4MP-02")</f>
        <v>F-WD1-01|F-P4MP-01|F-P4MP-02</v>
      </c>
      <c r="L222" s="7" t="str">
        <f>IFERROR(__xludf.DUMMYFUNCTION("IF(E222="""","""",TEXTJOIN(""|"",TRUE,UNIQUE(FILTER('29_FUNCTION_STANDARD_MAP'!B$2:B$43,ISNUMBER(SEARCH(""|""&amp;E222&amp;""|"",""|""&amp;'29_FUNCTION_STANDARD_MAP'!E$2:E$43&amp;""|""))))))"),"WADIR1|P4MP")</f>
        <v>WADIR1|P4MP</v>
      </c>
      <c r="M222" s="7" t="s">
        <v>1383</v>
      </c>
      <c r="N222" s="7" t="s">
        <v>2991</v>
      </c>
      <c r="O222" s="7" t="s">
        <v>1452</v>
      </c>
      <c r="P222" s="7">
        <v>3.0</v>
      </c>
      <c r="Q222" s="7" t="b">
        <v>1</v>
      </c>
      <c r="R222" s="7" t="s">
        <v>3558</v>
      </c>
      <c r="S222" s="7" t="s">
        <v>329</v>
      </c>
      <c r="T222" s="7" t="s">
        <v>4093</v>
      </c>
    </row>
    <row r="223">
      <c r="A223" s="7" t="s">
        <v>2992</v>
      </c>
      <c r="B223" s="7" t="s">
        <v>2993</v>
      </c>
      <c r="C223" s="7" t="s">
        <v>1383</v>
      </c>
      <c r="D223" s="7" t="s">
        <v>2994</v>
      </c>
      <c r="E223" s="7" t="s">
        <v>3836</v>
      </c>
      <c r="F223" s="7" t="s">
        <v>3837</v>
      </c>
      <c r="G223" s="7" t="s">
        <v>4072</v>
      </c>
      <c r="H223" s="7" t="s">
        <v>3838</v>
      </c>
      <c r="I223" s="7" t="s">
        <v>4073</v>
      </c>
      <c r="J223" s="7" t="s">
        <v>2985</v>
      </c>
      <c r="K223" s="7" t="str">
        <f>IFERROR(__xludf.DUMMYFUNCTION("IF(E223="""","""",TEXTJOIN(""|"",TRUE,FILTER('29_FUNCTION_STANDARD_MAP'!A$2:A$43,ISNUMBER(SEARCH(""|""&amp;E223&amp;""|"",""|""&amp;'29_FUNCTION_STANDARD_MAP'!E$2:E$43&amp;""|"")))))"),"F-WD1-01|F-P4MP-01|F-P4MP-02")</f>
        <v>F-WD1-01|F-P4MP-01|F-P4MP-02</v>
      </c>
      <c r="L223" s="7" t="str">
        <f>IFERROR(__xludf.DUMMYFUNCTION("IF(E223="""","""",TEXTJOIN(""|"",TRUE,UNIQUE(FILTER('29_FUNCTION_STANDARD_MAP'!B$2:B$43,ISNUMBER(SEARCH(""|""&amp;E223&amp;""|"",""|""&amp;'29_FUNCTION_STANDARD_MAP'!E$2:E$43&amp;""|""))))))"),"WADIR1|P4MP")</f>
        <v>WADIR1|P4MP</v>
      </c>
      <c r="M223" s="7" t="s">
        <v>1383</v>
      </c>
      <c r="N223" s="7" t="s">
        <v>2620</v>
      </c>
      <c r="O223" s="7" t="s">
        <v>1452</v>
      </c>
      <c r="P223" s="7">
        <v>3.0</v>
      </c>
      <c r="Q223" s="7" t="b">
        <v>1</v>
      </c>
      <c r="R223" s="7" t="s">
        <v>3558</v>
      </c>
      <c r="S223" s="7" t="s">
        <v>329</v>
      </c>
      <c r="T223" s="7" t="s">
        <v>4093</v>
      </c>
    </row>
    <row r="224">
      <c r="A224" s="7" t="s">
        <v>2995</v>
      </c>
      <c r="B224" s="7" t="s">
        <v>2996</v>
      </c>
      <c r="C224" s="7" t="s">
        <v>1383</v>
      </c>
      <c r="D224" s="7" t="s">
        <v>2997</v>
      </c>
      <c r="E224" s="7" t="s">
        <v>3836</v>
      </c>
      <c r="F224" s="7" t="s">
        <v>3837</v>
      </c>
      <c r="G224" s="7" t="s">
        <v>4072</v>
      </c>
      <c r="H224" s="7" t="s">
        <v>3838</v>
      </c>
      <c r="I224" s="7" t="s">
        <v>4073</v>
      </c>
      <c r="J224" s="7">
        <v>9.2</v>
      </c>
      <c r="K224" s="7" t="str">
        <f>IFERROR(__xludf.DUMMYFUNCTION("IF(E224="""","""",TEXTJOIN(""|"",TRUE,FILTER('29_FUNCTION_STANDARD_MAP'!A$2:A$43,ISNUMBER(SEARCH(""|""&amp;E224&amp;""|"",""|""&amp;'29_FUNCTION_STANDARD_MAP'!E$2:E$43&amp;""|"")))))"),"F-WD1-01|F-P4MP-01|F-P4MP-02")</f>
        <v>F-WD1-01|F-P4MP-01|F-P4MP-02</v>
      </c>
      <c r="L224" s="7" t="str">
        <f>IFERROR(__xludf.DUMMYFUNCTION("IF(E224="""","""",TEXTJOIN(""|"",TRUE,UNIQUE(FILTER('29_FUNCTION_STANDARD_MAP'!B$2:B$43,ISNUMBER(SEARCH(""|""&amp;E224&amp;""|"",""|""&amp;'29_FUNCTION_STANDARD_MAP'!E$2:E$43&amp;""|""))))))"),"WADIR1|P4MP")</f>
        <v>WADIR1|P4MP</v>
      </c>
      <c r="M224" s="7" t="s">
        <v>1383</v>
      </c>
      <c r="N224" s="7" t="s">
        <v>2998</v>
      </c>
      <c r="O224" s="7" t="s">
        <v>1452</v>
      </c>
      <c r="P224" s="7">
        <v>3.0</v>
      </c>
      <c r="Q224" s="7" t="b">
        <v>1</v>
      </c>
      <c r="R224" s="7" t="s">
        <v>3558</v>
      </c>
      <c r="S224" s="7" t="s">
        <v>329</v>
      </c>
      <c r="T224" s="7" t="s">
        <v>4093</v>
      </c>
    </row>
    <row r="225">
      <c r="A225" s="7" t="s">
        <v>2999</v>
      </c>
      <c r="B225" s="7" t="s">
        <v>3000</v>
      </c>
      <c r="C225" s="7" t="s">
        <v>1383</v>
      </c>
      <c r="D225" s="7" t="s">
        <v>3001</v>
      </c>
      <c r="E225" s="7" t="s">
        <v>3836</v>
      </c>
      <c r="F225" s="7" t="s">
        <v>3837</v>
      </c>
      <c r="G225" s="7" t="s">
        <v>4072</v>
      </c>
      <c r="H225" s="7" t="s">
        <v>3838</v>
      </c>
      <c r="I225" s="7" t="s">
        <v>4073</v>
      </c>
      <c r="J225" s="7">
        <v>9.2</v>
      </c>
      <c r="K225" s="7" t="str">
        <f>IFERROR(__xludf.DUMMYFUNCTION("IF(E225="""","""",TEXTJOIN(""|"",TRUE,FILTER('29_FUNCTION_STANDARD_MAP'!A$2:A$43,ISNUMBER(SEARCH(""|""&amp;E225&amp;""|"",""|""&amp;'29_FUNCTION_STANDARD_MAP'!E$2:E$43&amp;""|"")))))"),"F-WD1-01|F-P4MP-01|F-P4MP-02")</f>
        <v>F-WD1-01|F-P4MP-01|F-P4MP-02</v>
      </c>
      <c r="L225" s="7" t="str">
        <f>IFERROR(__xludf.DUMMYFUNCTION("IF(E225="""","""",TEXTJOIN(""|"",TRUE,UNIQUE(FILTER('29_FUNCTION_STANDARD_MAP'!B$2:B$43,ISNUMBER(SEARCH(""|""&amp;E225&amp;""|"",""|""&amp;'29_FUNCTION_STANDARD_MAP'!E$2:E$43&amp;""|""))))))"),"WADIR1|P4MP")</f>
        <v>WADIR1|P4MP</v>
      </c>
      <c r="M225" s="7" t="s">
        <v>1383</v>
      </c>
      <c r="N225" s="7" t="s">
        <v>3002</v>
      </c>
      <c r="O225" s="7" t="s">
        <v>1452</v>
      </c>
      <c r="P225" s="7">
        <v>3.0</v>
      </c>
      <c r="Q225" s="7" t="b">
        <v>1</v>
      </c>
      <c r="R225" s="7" t="s">
        <v>3558</v>
      </c>
      <c r="S225" s="7" t="s">
        <v>329</v>
      </c>
      <c r="T225" s="7" t="s">
        <v>4093</v>
      </c>
    </row>
    <row r="226">
      <c r="A226" s="7" t="s">
        <v>3003</v>
      </c>
      <c r="B226" s="7" t="s">
        <v>3004</v>
      </c>
      <c r="C226" s="7" t="s">
        <v>1383</v>
      </c>
      <c r="D226" s="7" t="s">
        <v>3005</v>
      </c>
      <c r="E226" s="7" t="s">
        <v>3836</v>
      </c>
      <c r="F226" s="7" t="s">
        <v>3837</v>
      </c>
      <c r="G226" s="7" t="s">
        <v>4072</v>
      </c>
      <c r="H226" s="7" t="s">
        <v>3838</v>
      </c>
      <c r="I226" s="7" t="s">
        <v>4073</v>
      </c>
      <c r="J226" s="7">
        <v>10.2</v>
      </c>
      <c r="K226" s="7" t="str">
        <f>IFERROR(__xludf.DUMMYFUNCTION("IF(E226="""","""",TEXTJOIN(""|"",TRUE,FILTER('29_FUNCTION_STANDARD_MAP'!A$2:A$43,ISNUMBER(SEARCH(""|""&amp;E226&amp;""|"",""|""&amp;'29_FUNCTION_STANDARD_MAP'!E$2:E$43&amp;""|"")))))"),"F-WD1-01|F-P4MP-01|F-P4MP-02")</f>
        <v>F-WD1-01|F-P4MP-01|F-P4MP-02</v>
      </c>
      <c r="L226" s="7" t="str">
        <f>IFERROR(__xludf.DUMMYFUNCTION("IF(E226="""","""",TEXTJOIN(""|"",TRUE,UNIQUE(FILTER('29_FUNCTION_STANDARD_MAP'!B$2:B$43,ISNUMBER(SEARCH(""|""&amp;E226&amp;""|"",""|""&amp;'29_FUNCTION_STANDARD_MAP'!E$2:E$43&amp;""|""))))))"),"WADIR1|P4MP")</f>
        <v>WADIR1|P4MP</v>
      </c>
      <c r="M226" s="7" t="s">
        <v>1383</v>
      </c>
      <c r="N226" s="7" t="s">
        <v>3006</v>
      </c>
      <c r="O226" s="7" t="s">
        <v>1452</v>
      </c>
      <c r="P226" s="7">
        <v>3.0</v>
      </c>
      <c r="Q226" s="7" t="b">
        <v>1</v>
      </c>
      <c r="R226" s="7" t="s">
        <v>3558</v>
      </c>
      <c r="S226" s="7" t="s">
        <v>329</v>
      </c>
      <c r="T226" s="7" t="s">
        <v>4093</v>
      </c>
    </row>
    <row r="227">
      <c r="A227" s="7" t="s">
        <v>3007</v>
      </c>
      <c r="B227" s="7" t="s">
        <v>3008</v>
      </c>
      <c r="C227" s="7" t="s">
        <v>1383</v>
      </c>
      <c r="D227" s="7" t="s">
        <v>3009</v>
      </c>
      <c r="E227" s="7" t="s">
        <v>3836</v>
      </c>
      <c r="F227" s="7" t="s">
        <v>3837</v>
      </c>
      <c r="G227" s="7" t="s">
        <v>4072</v>
      </c>
      <c r="H227" s="7" t="s">
        <v>3838</v>
      </c>
      <c r="I227" s="7" t="s">
        <v>4073</v>
      </c>
      <c r="J227" s="7" t="s">
        <v>2158</v>
      </c>
      <c r="K227" s="7" t="str">
        <f>IFERROR(__xludf.DUMMYFUNCTION("IF(E227="""","""",TEXTJOIN(""|"",TRUE,FILTER('29_FUNCTION_STANDARD_MAP'!A$2:A$43,ISNUMBER(SEARCH(""|""&amp;E227&amp;""|"",""|""&amp;'29_FUNCTION_STANDARD_MAP'!E$2:E$43&amp;""|"")))))"),"F-WD1-01|F-P4MP-01|F-P4MP-02")</f>
        <v>F-WD1-01|F-P4MP-01|F-P4MP-02</v>
      </c>
      <c r="L227" s="7" t="str">
        <f>IFERROR(__xludf.DUMMYFUNCTION("IF(E227="""","""",TEXTJOIN(""|"",TRUE,UNIQUE(FILTER('29_FUNCTION_STANDARD_MAP'!B$2:B$43,ISNUMBER(SEARCH(""|""&amp;E227&amp;""|"",""|""&amp;'29_FUNCTION_STANDARD_MAP'!E$2:E$43&amp;""|""))))))"),"WADIR1|P4MP")</f>
        <v>WADIR1|P4MP</v>
      </c>
      <c r="M227" s="7" t="s">
        <v>1383</v>
      </c>
      <c r="N227" s="7" t="s">
        <v>3010</v>
      </c>
      <c r="O227" s="7" t="s">
        <v>1452</v>
      </c>
      <c r="P227" s="7">
        <v>3.0</v>
      </c>
      <c r="Q227" s="7" t="b">
        <v>1</v>
      </c>
      <c r="R227" s="7" t="s">
        <v>3558</v>
      </c>
      <c r="S227" s="7" t="s">
        <v>329</v>
      </c>
      <c r="T227" s="7" t="s">
        <v>4093</v>
      </c>
    </row>
    <row r="228">
      <c r="A228" s="7" t="s">
        <v>3011</v>
      </c>
      <c r="B228" s="7" t="s">
        <v>3012</v>
      </c>
      <c r="C228" s="7" t="s">
        <v>1383</v>
      </c>
      <c r="D228" s="7" t="s">
        <v>3013</v>
      </c>
      <c r="E228" s="7" t="s">
        <v>3836</v>
      </c>
      <c r="F228" s="7" t="s">
        <v>3837</v>
      </c>
      <c r="G228" s="7" t="s">
        <v>4072</v>
      </c>
      <c r="H228" s="7" t="s">
        <v>3838</v>
      </c>
      <c r="I228" s="7" t="s">
        <v>4073</v>
      </c>
      <c r="J228" s="7">
        <v>9.3</v>
      </c>
      <c r="K228" s="7" t="str">
        <f>IFERROR(__xludf.DUMMYFUNCTION("IF(E228="""","""",TEXTJOIN(""|"",TRUE,FILTER('29_FUNCTION_STANDARD_MAP'!A$2:A$43,ISNUMBER(SEARCH(""|""&amp;E228&amp;""|"",""|""&amp;'29_FUNCTION_STANDARD_MAP'!E$2:E$43&amp;""|"")))))"),"F-WD1-01|F-P4MP-01|F-P4MP-02")</f>
        <v>F-WD1-01|F-P4MP-01|F-P4MP-02</v>
      </c>
      <c r="L228" s="7" t="str">
        <f>IFERROR(__xludf.DUMMYFUNCTION("IF(E228="""","""",TEXTJOIN(""|"",TRUE,UNIQUE(FILTER('29_FUNCTION_STANDARD_MAP'!B$2:B$43,ISNUMBER(SEARCH(""|""&amp;E228&amp;""|"",""|""&amp;'29_FUNCTION_STANDARD_MAP'!E$2:E$43&amp;""|""))))))"),"WADIR1|P4MP")</f>
        <v>WADIR1|P4MP</v>
      </c>
      <c r="M228" s="7" t="s">
        <v>1383</v>
      </c>
      <c r="N228" s="7" t="s">
        <v>2315</v>
      </c>
      <c r="O228" s="7" t="s">
        <v>1452</v>
      </c>
      <c r="P228" s="7">
        <v>3.0</v>
      </c>
      <c r="Q228" s="7" t="b">
        <v>1</v>
      </c>
      <c r="R228" s="7" t="s">
        <v>3558</v>
      </c>
      <c r="S228" s="7" t="s">
        <v>329</v>
      </c>
      <c r="T228" s="7" t="s">
        <v>4093</v>
      </c>
    </row>
    <row r="229">
      <c r="A229" s="7" t="s">
        <v>3014</v>
      </c>
      <c r="B229" s="7" t="s">
        <v>3015</v>
      </c>
      <c r="C229" s="7" t="s">
        <v>1383</v>
      </c>
      <c r="D229" s="7" t="s">
        <v>3016</v>
      </c>
      <c r="E229" s="7" t="s">
        <v>3836</v>
      </c>
      <c r="F229" s="7" t="s">
        <v>3837</v>
      </c>
      <c r="G229" s="7" t="s">
        <v>4072</v>
      </c>
      <c r="H229" s="7" t="s">
        <v>3838</v>
      </c>
      <c r="I229" s="7" t="s">
        <v>4073</v>
      </c>
      <c r="J229" s="7" t="s">
        <v>2158</v>
      </c>
      <c r="K229" s="7" t="str">
        <f>IFERROR(__xludf.DUMMYFUNCTION("IF(E229="""","""",TEXTJOIN(""|"",TRUE,FILTER('29_FUNCTION_STANDARD_MAP'!A$2:A$43,ISNUMBER(SEARCH(""|""&amp;E229&amp;""|"",""|""&amp;'29_FUNCTION_STANDARD_MAP'!E$2:E$43&amp;""|"")))))"),"F-WD1-01|F-P4MP-01|F-P4MP-02")</f>
        <v>F-WD1-01|F-P4MP-01|F-P4MP-02</v>
      </c>
      <c r="L229" s="7" t="str">
        <f>IFERROR(__xludf.DUMMYFUNCTION("IF(E229="""","""",TEXTJOIN(""|"",TRUE,UNIQUE(FILTER('29_FUNCTION_STANDARD_MAP'!B$2:B$43,ISNUMBER(SEARCH(""|""&amp;E229&amp;""|"",""|""&amp;'29_FUNCTION_STANDARD_MAP'!E$2:E$43&amp;""|""))))))"),"WADIR1|P4MP")</f>
        <v>WADIR1|P4MP</v>
      </c>
      <c r="M229" s="7" t="s">
        <v>1383</v>
      </c>
      <c r="N229" s="7" t="s">
        <v>3017</v>
      </c>
      <c r="O229" s="7" t="s">
        <v>1452</v>
      </c>
      <c r="P229" s="7">
        <v>3.0</v>
      </c>
      <c r="Q229" s="7" t="b">
        <v>1</v>
      </c>
      <c r="R229" s="7" t="s">
        <v>3558</v>
      </c>
      <c r="S229" s="7" t="s">
        <v>329</v>
      </c>
      <c r="T229" s="7" t="s">
        <v>4093</v>
      </c>
    </row>
    <row r="230">
      <c r="A230" s="7" t="s">
        <v>3018</v>
      </c>
      <c r="B230" s="7" t="s">
        <v>3019</v>
      </c>
      <c r="C230" s="7" t="s">
        <v>3020</v>
      </c>
      <c r="D230" s="7" t="s">
        <v>3021</v>
      </c>
      <c r="E230" s="7" t="s">
        <v>3851</v>
      </c>
      <c r="F230" s="7" t="s">
        <v>3852</v>
      </c>
      <c r="G230" s="7" t="s">
        <v>4076</v>
      </c>
      <c r="H230" s="7" t="s">
        <v>3853</v>
      </c>
      <c r="I230" s="7" t="s">
        <v>4077</v>
      </c>
      <c r="J230" s="7">
        <v>5.3</v>
      </c>
      <c r="K230" s="7" t="str">
        <f>IFERROR(__xludf.DUMMYFUNCTION("IF(E230="""","""",TEXTJOIN(""|"",TRUE,FILTER('29_FUNCTION_STANDARD_MAP'!A$2:A$43,ISNUMBER(SEARCH(""|""&amp;E230&amp;""|"",""|""&amp;'29_FUNCTION_STANDARD_MAP'!E$2:E$43&amp;""|"")))))"),"F-TPERKAPALAN-01|F-TPERKAPALAN-02|F-TMESIN-01|F-TMESIN-02|F-TELEKTRO-01|F-TELEKTRO-02|F-TSIPIL-01|F-TSIPIL-02|F-ADMNIAGA-01|F-ADMNIAGA-02|F-TINFORMATIKA-01|F-TINFORMATIKA-02|F-KEMARITIMAN-01|F-KEMARITIMAN-02|F-BAHASA-01|F-BAHASA-02")</f>
        <v>F-TPERKAPALAN-01|F-TPERKAPALAN-02|F-TMESIN-01|F-TMESIN-02|F-TELEKTRO-01|F-TELEKTRO-02|F-TSIPIL-01|F-TSIPIL-02|F-ADMNIAGA-01|F-ADMNIAGA-02|F-TINFORMATIKA-01|F-TINFORMATIKA-02|F-KEMARITIMAN-01|F-KEMARITIMAN-02|F-BAHASA-01|F-BAHASA-02</v>
      </c>
      <c r="L230" s="7" t="str">
        <f>IFERROR(__xludf.DUMMYFUNCTION("IF(E230="""","""",TEXTJOIN(""|"",TRUE,UNIQUE(FILTER('29_FUNCTION_STANDARD_MAP'!B$2:B$43,ISNUMBER(SEARCH(""|""&amp;E230&amp;""|"",""|""&amp;'29_FUNCTION_STANDARD_MAP'!E$2:E$43&amp;""|""))))))"),"JUR_TPERKAPALAN|JUR_TMESIN|JUR_TELEKTRO|JUR_TSIPIL|JUR_ADMNIAGA|JUR_TINFORMATIKA|JUR_KEMARITIMAN|JUR_BAHASA")</f>
        <v>JUR_TPERKAPALAN|JUR_TMESIN|JUR_TELEKTRO|JUR_TSIPIL|JUR_ADMNIAGA|JUR_TINFORMATIKA|JUR_KEMARITIMAN|JUR_BAHASA</v>
      </c>
      <c r="M230" s="7" t="s">
        <v>1420</v>
      </c>
      <c r="N230" s="7" t="s">
        <v>3022</v>
      </c>
      <c r="O230" s="7" t="s">
        <v>1465</v>
      </c>
      <c r="P230" s="7">
        <v>2.0</v>
      </c>
      <c r="Q230" s="7" t="b">
        <v>1</v>
      </c>
      <c r="R230" s="7" t="s">
        <v>3558</v>
      </c>
      <c r="S230" s="7" t="s">
        <v>329</v>
      </c>
      <c r="T230" s="7" t="s">
        <v>4093</v>
      </c>
    </row>
    <row r="231">
      <c r="A231" s="7" t="s">
        <v>3023</v>
      </c>
      <c r="B231" s="7" t="s">
        <v>3024</v>
      </c>
      <c r="C231" s="7" t="s">
        <v>3020</v>
      </c>
      <c r="D231" s="7" t="s">
        <v>3025</v>
      </c>
      <c r="E231" s="7" t="s">
        <v>3851</v>
      </c>
      <c r="F231" s="7" t="s">
        <v>3852</v>
      </c>
      <c r="G231" s="7" t="s">
        <v>4076</v>
      </c>
      <c r="H231" s="7" t="s">
        <v>3853</v>
      </c>
      <c r="I231" s="7" t="s">
        <v>4077</v>
      </c>
      <c r="J231" s="7" t="s">
        <v>1649</v>
      </c>
      <c r="K231" s="7" t="str">
        <f>IFERROR(__xludf.DUMMYFUNCTION("IF(E231="""","""",TEXTJOIN(""|"",TRUE,FILTER('29_FUNCTION_STANDARD_MAP'!A$2:A$43,ISNUMBER(SEARCH(""|""&amp;E231&amp;""|"",""|""&amp;'29_FUNCTION_STANDARD_MAP'!E$2:E$43&amp;""|"")))))"),"F-TPERKAPALAN-01|F-TPERKAPALAN-02|F-TMESIN-01|F-TMESIN-02|F-TELEKTRO-01|F-TELEKTRO-02|F-TSIPIL-01|F-TSIPIL-02|F-ADMNIAGA-01|F-ADMNIAGA-02|F-TINFORMATIKA-01|F-TINFORMATIKA-02|F-KEMARITIMAN-01|F-KEMARITIMAN-02|F-BAHASA-01|F-BAHASA-02")</f>
        <v>F-TPERKAPALAN-01|F-TPERKAPALAN-02|F-TMESIN-01|F-TMESIN-02|F-TELEKTRO-01|F-TELEKTRO-02|F-TSIPIL-01|F-TSIPIL-02|F-ADMNIAGA-01|F-ADMNIAGA-02|F-TINFORMATIKA-01|F-TINFORMATIKA-02|F-KEMARITIMAN-01|F-KEMARITIMAN-02|F-BAHASA-01|F-BAHASA-02</v>
      </c>
      <c r="L231" s="7" t="str">
        <f>IFERROR(__xludf.DUMMYFUNCTION("IF(E231="""","""",TEXTJOIN(""|"",TRUE,UNIQUE(FILTER('29_FUNCTION_STANDARD_MAP'!B$2:B$43,ISNUMBER(SEARCH(""|""&amp;E231&amp;""|"",""|""&amp;'29_FUNCTION_STANDARD_MAP'!E$2:E$43&amp;""|""))))))"),"JUR_TPERKAPALAN|JUR_TMESIN|JUR_TELEKTRO|JUR_TSIPIL|JUR_ADMNIAGA|JUR_TINFORMATIKA|JUR_KEMARITIMAN|JUR_BAHASA")</f>
        <v>JUR_TPERKAPALAN|JUR_TMESIN|JUR_TELEKTRO|JUR_TSIPIL|JUR_ADMNIAGA|JUR_TINFORMATIKA|JUR_KEMARITIMAN|JUR_BAHASA</v>
      </c>
      <c r="M231" s="7" t="s">
        <v>1420</v>
      </c>
      <c r="N231" s="7" t="s">
        <v>2611</v>
      </c>
      <c r="O231" s="7" t="s">
        <v>1465</v>
      </c>
      <c r="P231" s="7">
        <v>2.0</v>
      </c>
      <c r="Q231" s="7" t="b">
        <v>1</v>
      </c>
      <c r="R231" s="7" t="s">
        <v>3558</v>
      </c>
      <c r="S231" s="7" t="s">
        <v>329</v>
      </c>
      <c r="T231" s="7" t="s">
        <v>4093</v>
      </c>
    </row>
    <row r="232">
      <c r="A232" s="7" t="s">
        <v>3026</v>
      </c>
      <c r="B232" s="7" t="s">
        <v>3027</v>
      </c>
      <c r="C232" s="7" t="s">
        <v>3020</v>
      </c>
      <c r="D232" s="7" t="s">
        <v>3028</v>
      </c>
      <c r="E232" s="7" t="s">
        <v>3851</v>
      </c>
      <c r="F232" s="7" t="s">
        <v>3852</v>
      </c>
      <c r="G232" s="7" t="s">
        <v>4076</v>
      </c>
      <c r="H232" s="7" t="s">
        <v>3853</v>
      </c>
      <c r="I232" s="7" t="s">
        <v>4077</v>
      </c>
      <c r="J232" s="7" t="s">
        <v>3029</v>
      </c>
      <c r="K232" s="7" t="str">
        <f>IFERROR(__xludf.DUMMYFUNCTION("IF(E232="""","""",TEXTJOIN(""|"",TRUE,FILTER('29_FUNCTION_STANDARD_MAP'!A$2:A$43,ISNUMBER(SEARCH(""|""&amp;E232&amp;""|"",""|""&amp;'29_FUNCTION_STANDARD_MAP'!E$2:E$43&amp;""|"")))))"),"F-TPERKAPALAN-01|F-TPERKAPALAN-02|F-TMESIN-01|F-TMESIN-02|F-TELEKTRO-01|F-TELEKTRO-02|F-TSIPIL-01|F-TSIPIL-02|F-ADMNIAGA-01|F-ADMNIAGA-02|F-TINFORMATIKA-01|F-TINFORMATIKA-02|F-KEMARITIMAN-01|F-KEMARITIMAN-02|F-BAHASA-01|F-BAHASA-02")</f>
        <v>F-TPERKAPALAN-01|F-TPERKAPALAN-02|F-TMESIN-01|F-TMESIN-02|F-TELEKTRO-01|F-TELEKTRO-02|F-TSIPIL-01|F-TSIPIL-02|F-ADMNIAGA-01|F-ADMNIAGA-02|F-TINFORMATIKA-01|F-TINFORMATIKA-02|F-KEMARITIMAN-01|F-KEMARITIMAN-02|F-BAHASA-01|F-BAHASA-02</v>
      </c>
      <c r="L232" s="7" t="str">
        <f>IFERROR(__xludf.DUMMYFUNCTION("IF(E232="""","""",TEXTJOIN(""|"",TRUE,UNIQUE(FILTER('29_FUNCTION_STANDARD_MAP'!B$2:B$43,ISNUMBER(SEARCH(""|""&amp;E232&amp;""|"",""|""&amp;'29_FUNCTION_STANDARD_MAP'!E$2:E$43&amp;""|""))))))"),"JUR_TPERKAPALAN|JUR_TMESIN|JUR_TELEKTRO|JUR_TSIPIL|JUR_ADMNIAGA|JUR_TINFORMATIKA|JUR_KEMARITIMAN|JUR_BAHASA")</f>
        <v>JUR_TPERKAPALAN|JUR_TMESIN|JUR_TELEKTRO|JUR_TSIPIL|JUR_ADMNIAGA|JUR_TINFORMATIKA|JUR_KEMARITIMAN|JUR_BAHASA</v>
      </c>
      <c r="M232" s="7" t="s">
        <v>1420</v>
      </c>
      <c r="N232" s="7" t="s">
        <v>3030</v>
      </c>
      <c r="O232" s="7" t="s">
        <v>1465</v>
      </c>
      <c r="P232" s="7">
        <v>2.0</v>
      </c>
      <c r="Q232" s="7" t="b">
        <v>1</v>
      </c>
      <c r="R232" s="7" t="s">
        <v>3558</v>
      </c>
      <c r="S232" s="7" t="s">
        <v>329</v>
      </c>
      <c r="T232" s="7" t="s">
        <v>4093</v>
      </c>
    </row>
    <row r="233">
      <c r="A233" s="7" t="s">
        <v>3031</v>
      </c>
      <c r="B233" s="7" t="s">
        <v>3032</v>
      </c>
      <c r="C233" s="7" t="s">
        <v>3020</v>
      </c>
      <c r="D233" s="7" t="s">
        <v>3033</v>
      </c>
      <c r="E233" s="7" t="s">
        <v>3851</v>
      </c>
      <c r="F233" s="7" t="s">
        <v>3852</v>
      </c>
      <c r="G233" s="7" t="s">
        <v>4076</v>
      </c>
      <c r="H233" s="7" t="s">
        <v>3853</v>
      </c>
      <c r="I233" s="7" t="s">
        <v>4077</v>
      </c>
      <c r="J233" s="7" t="s">
        <v>2748</v>
      </c>
      <c r="K233" s="7" t="str">
        <f>IFERROR(__xludf.DUMMYFUNCTION("IF(E233="""","""",TEXTJOIN(""|"",TRUE,FILTER('29_FUNCTION_STANDARD_MAP'!A$2:A$43,ISNUMBER(SEARCH(""|""&amp;E233&amp;""|"",""|""&amp;'29_FUNCTION_STANDARD_MAP'!E$2:E$43&amp;""|"")))))"),"F-TPERKAPALAN-01|F-TPERKAPALAN-02|F-TMESIN-01|F-TMESIN-02|F-TELEKTRO-01|F-TELEKTRO-02|F-TSIPIL-01|F-TSIPIL-02|F-ADMNIAGA-01|F-ADMNIAGA-02|F-TINFORMATIKA-01|F-TINFORMATIKA-02|F-KEMARITIMAN-01|F-KEMARITIMAN-02|F-BAHASA-01|F-BAHASA-02")</f>
        <v>F-TPERKAPALAN-01|F-TPERKAPALAN-02|F-TMESIN-01|F-TMESIN-02|F-TELEKTRO-01|F-TELEKTRO-02|F-TSIPIL-01|F-TSIPIL-02|F-ADMNIAGA-01|F-ADMNIAGA-02|F-TINFORMATIKA-01|F-TINFORMATIKA-02|F-KEMARITIMAN-01|F-KEMARITIMAN-02|F-BAHASA-01|F-BAHASA-02</v>
      </c>
      <c r="L233" s="7" t="str">
        <f>IFERROR(__xludf.DUMMYFUNCTION("IF(E233="""","""",TEXTJOIN(""|"",TRUE,UNIQUE(FILTER('29_FUNCTION_STANDARD_MAP'!B$2:B$43,ISNUMBER(SEARCH(""|""&amp;E233&amp;""|"",""|""&amp;'29_FUNCTION_STANDARD_MAP'!E$2:E$43&amp;""|""))))))"),"JUR_TPERKAPALAN|JUR_TMESIN|JUR_TELEKTRO|JUR_TSIPIL|JUR_ADMNIAGA|JUR_TINFORMATIKA|JUR_KEMARITIMAN|JUR_BAHASA")</f>
        <v>JUR_TPERKAPALAN|JUR_TMESIN|JUR_TELEKTRO|JUR_TSIPIL|JUR_ADMNIAGA|JUR_TINFORMATIKA|JUR_KEMARITIMAN|JUR_BAHASA</v>
      </c>
      <c r="M233" s="7" t="s">
        <v>1420</v>
      </c>
      <c r="N233" s="7" t="s">
        <v>3034</v>
      </c>
      <c r="O233" s="7" t="s">
        <v>1465</v>
      </c>
      <c r="P233" s="7">
        <v>2.0</v>
      </c>
      <c r="Q233" s="7" t="b">
        <v>1</v>
      </c>
      <c r="R233" s="7" t="s">
        <v>3558</v>
      </c>
      <c r="S233" s="7" t="s">
        <v>329</v>
      </c>
      <c r="T233" s="7" t="s">
        <v>4093</v>
      </c>
    </row>
    <row r="234">
      <c r="A234" s="7" t="s">
        <v>3035</v>
      </c>
      <c r="B234" s="7" t="s">
        <v>3036</v>
      </c>
      <c r="C234" s="7" t="s">
        <v>3020</v>
      </c>
      <c r="D234" s="7" t="s">
        <v>3037</v>
      </c>
      <c r="E234" s="7" t="s">
        <v>3851</v>
      </c>
      <c r="F234" s="7" t="s">
        <v>3852</v>
      </c>
      <c r="G234" s="7" t="s">
        <v>4076</v>
      </c>
      <c r="H234" s="7" t="s">
        <v>3853</v>
      </c>
      <c r="I234" s="7" t="s">
        <v>4077</v>
      </c>
      <c r="J234" s="7" t="s">
        <v>1659</v>
      </c>
      <c r="K234" s="7" t="str">
        <f>IFERROR(__xludf.DUMMYFUNCTION("IF(E234="""","""",TEXTJOIN(""|"",TRUE,FILTER('29_FUNCTION_STANDARD_MAP'!A$2:A$43,ISNUMBER(SEARCH(""|""&amp;E234&amp;""|"",""|""&amp;'29_FUNCTION_STANDARD_MAP'!E$2:E$43&amp;""|"")))))"),"F-TPERKAPALAN-01|F-TPERKAPALAN-02|F-TMESIN-01|F-TMESIN-02|F-TELEKTRO-01|F-TELEKTRO-02|F-TSIPIL-01|F-TSIPIL-02|F-ADMNIAGA-01|F-ADMNIAGA-02|F-TINFORMATIKA-01|F-TINFORMATIKA-02|F-KEMARITIMAN-01|F-KEMARITIMAN-02|F-BAHASA-01|F-BAHASA-02")</f>
        <v>F-TPERKAPALAN-01|F-TPERKAPALAN-02|F-TMESIN-01|F-TMESIN-02|F-TELEKTRO-01|F-TELEKTRO-02|F-TSIPIL-01|F-TSIPIL-02|F-ADMNIAGA-01|F-ADMNIAGA-02|F-TINFORMATIKA-01|F-TINFORMATIKA-02|F-KEMARITIMAN-01|F-KEMARITIMAN-02|F-BAHASA-01|F-BAHASA-02</v>
      </c>
      <c r="L234" s="7" t="str">
        <f>IFERROR(__xludf.DUMMYFUNCTION("IF(E234="""","""",TEXTJOIN(""|"",TRUE,UNIQUE(FILTER('29_FUNCTION_STANDARD_MAP'!B$2:B$43,ISNUMBER(SEARCH(""|""&amp;E234&amp;""|"",""|""&amp;'29_FUNCTION_STANDARD_MAP'!E$2:E$43&amp;""|""))))))"),"JUR_TPERKAPALAN|JUR_TMESIN|JUR_TELEKTRO|JUR_TSIPIL|JUR_ADMNIAGA|JUR_TINFORMATIKA|JUR_KEMARITIMAN|JUR_BAHASA")</f>
        <v>JUR_TPERKAPALAN|JUR_TMESIN|JUR_TELEKTRO|JUR_TSIPIL|JUR_ADMNIAGA|JUR_TINFORMATIKA|JUR_KEMARITIMAN|JUR_BAHASA</v>
      </c>
      <c r="M234" s="7" t="s">
        <v>1420</v>
      </c>
      <c r="N234" s="7" t="s">
        <v>3038</v>
      </c>
      <c r="O234" s="7" t="s">
        <v>1465</v>
      </c>
      <c r="P234" s="7">
        <v>2.0</v>
      </c>
      <c r="Q234" s="7" t="b">
        <v>1</v>
      </c>
      <c r="R234" s="7" t="s">
        <v>3558</v>
      </c>
      <c r="S234" s="7" t="s">
        <v>329</v>
      </c>
      <c r="T234" s="7" t="s">
        <v>4093</v>
      </c>
    </row>
    <row r="235">
      <c r="A235" s="7" t="s">
        <v>3039</v>
      </c>
      <c r="B235" s="7" t="s">
        <v>3040</v>
      </c>
      <c r="C235" s="7" t="s">
        <v>3020</v>
      </c>
      <c r="D235" s="7" t="s">
        <v>3041</v>
      </c>
      <c r="E235" s="7" t="s">
        <v>3851</v>
      </c>
      <c r="F235" s="7" t="s">
        <v>3852</v>
      </c>
      <c r="G235" s="7" t="s">
        <v>4076</v>
      </c>
      <c r="H235" s="7" t="s">
        <v>3853</v>
      </c>
      <c r="I235" s="7" t="s">
        <v>4077</v>
      </c>
      <c r="J235" s="7" t="s">
        <v>3042</v>
      </c>
      <c r="K235" s="7" t="str">
        <f>IFERROR(__xludf.DUMMYFUNCTION("IF(E235="""","""",TEXTJOIN(""|"",TRUE,FILTER('29_FUNCTION_STANDARD_MAP'!A$2:A$43,ISNUMBER(SEARCH(""|""&amp;E235&amp;""|"",""|""&amp;'29_FUNCTION_STANDARD_MAP'!E$2:E$43&amp;""|"")))))"),"F-TPERKAPALAN-01|F-TPERKAPALAN-02|F-TMESIN-01|F-TMESIN-02|F-TELEKTRO-01|F-TELEKTRO-02|F-TSIPIL-01|F-TSIPIL-02|F-ADMNIAGA-01|F-ADMNIAGA-02|F-TINFORMATIKA-01|F-TINFORMATIKA-02|F-KEMARITIMAN-01|F-KEMARITIMAN-02|F-BAHASA-01|F-BAHASA-02")</f>
        <v>F-TPERKAPALAN-01|F-TPERKAPALAN-02|F-TMESIN-01|F-TMESIN-02|F-TELEKTRO-01|F-TELEKTRO-02|F-TSIPIL-01|F-TSIPIL-02|F-ADMNIAGA-01|F-ADMNIAGA-02|F-TINFORMATIKA-01|F-TINFORMATIKA-02|F-KEMARITIMAN-01|F-KEMARITIMAN-02|F-BAHASA-01|F-BAHASA-02</v>
      </c>
      <c r="L235" s="7" t="str">
        <f>IFERROR(__xludf.DUMMYFUNCTION("IF(E235="""","""",TEXTJOIN(""|"",TRUE,UNIQUE(FILTER('29_FUNCTION_STANDARD_MAP'!B$2:B$43,ISNUMBER(SEARCH(""|""&amp;E235&amp;""|"",""|""&amp;'29_FUNCTION_STANDARD_MAP'!E$2:E$43&amp;""|""))))))"),"JUR_TPERKAPALAN|JUR_TMESIN|JUR_TELEKTRO|JUR_TSIPIL|JUR_ADMNIAGA|JUR_TINFORMATIKA|JUR_KEMARITIMAN|JUR_BAHASA")</f>
        <v>JUR_TPERKAPALAN|JUR_TMESIN|JUR_TELEKTRO|JUR_TSIPIL|JUR_ADMNIAGA|JUR_TINFORMATIKA|JUR_KEMARITIMAN|JUR_BAHASA</v>
      </c>
      <c r="M235" s="7" t="s">
        <v>1420</v>
      </c>
      <c r="N235" s="7" t="s">
        <v>2460</v>
      </c>
      <c r="O235" s="7" t="s">
        <v>1465</v>
      </c>
      <c r="P235" s="7">
        <v>2.0</v>
      </c>
      <c r="Q235" s="7" t="b">
        <v>1</v>
      </c>
      <c r="R235" s="7" t="s">
        <v>3558</v>
      </c>
      <c r="S235" s="7" t="s">
        <v>329</v>
      </c>
      <c r="T235" s="7" t="s">
        <v>4093</v>
      </c>
    </row>
    <row r="236">
      <c r="A236" s="7" t="s">
        <v>3043</v>
      </c>
      <c r="B236" s="7" t="s">
        <v>3044</v>
      </c>
      <c r="C236" s="7" t="s">
        <v>3020</v>
      </c>
      <c r="D236" s="7" t="s">
        <v>3045</v>
      </c>
      <c r="E236" s="7" t="s">
        <v>3851</v>
      </c>
      <c r="F236" s="7" t="s">
        <v>3852</v>
      </c>
      <c r="G236" s="7" t="s">
        <v>4076</v>
      </c>
      <c r="H236" s="7" t="s">
        <v>3853</v>
      </c>
      <c r="I236" s="7" t="s">
        <v>4077</v>
      </c>
      <c r="J236" s="7" t="s">
        <v>3042</v>
      </c>
      <c r="K236" s="7" t="str">
        <f>IFERROR(__xludf.DUMMYFUNCTION("IF(E236="""","""",TEXTJOIN(""|"",TRUE,FILTER('29_FUNCTION_STANDARD_MAP'!A$2:A$43,ISNUMBER(SEARCH(""|""&amp;E236&amp;""|"",""|""&amp;'29_FUNCTION_STANDARD_MAP'!E$2:E$43&amp;""|"")))))"),"F-TPERKAPALAN-01|F-TPERKAPALAN-02|F-TMESIN-01|F-TMESIN-02|F-TELEKTRO-01|F-TELEKTRO-02|F-TSIPIL-01|F-TSIPIL-02|F-ADMNIAGA-01|F-ADMNIAGA-02|F-TINFORMATIKA-01|F-TINFORMATIKA-02|F-KEMARITIMAN-01|F-KEMARITIMAN-02|F-BAHASA-01|F-BAHASA-02")</f>
        <v>F-TPERKAPALAN-01|F-TPERKAPALAN-02|F-TMESIN-01|F-TMESIN-02|F-TELEKTRO-01|F-TELEKTRO-02|F-TSIPIL-01|F-TSIPIL-02|F-ADMNIAGA-01|F-ADMNIAGA-02|F-TINFORMATIKA-01|F-TINFORMATIKA-02|F-KEMARITIMAN-01|F-KEMARITIMAN-02|F-BAHASA-01|F-BAHASA-02</v>
      </c>
      <c r="L236" s="7" t="str">
        <f>IFERROR(__xludf.DUMMYFUNCTION("IF(E236="""","""",TEXTJOIN(""|"",TRUE,UNIQUE(FILTER('29_FUNCTION_STANDARD_MAP'!B$2:B$43,ISNUMBER(SEARCH(""|""&amp;E236&amp;""|"",""|""&amp;'29_FUNCTION_STANDARD_MAP'!E$2:E$43&amp;""|""))))))"),"JUR_TPERKAPALAN|JUR_TMESIN|JUR_TELEKTRO|JUR_TSIPIL|JUR_ADMNIAGA|JUR_TINFORMATIKA|JUR_KEMARITIMAN|JUR_BAHASA")</f>
        <v>JUR_TPERKAPALAN|JUR_TMESIN|JUR_TELEKTRO|JUR_TSIPIL|JUR_ADMNIAGA|JUR_TINFORMATIKA|JUR_KEMARITIMAN|JUR_BAHASA</v>
      </c>
      <c r="M236" s="7" t="s">
        <v>1420</v>
      </c>
      <c r="N236" s="7" t="s">
        <v>3046</v>
      </c>
      <c r="O236" s="7" t="s">
        <v>1465</v>
      </c>
      <c r="P236" s="7">
        <v>2.0</v>
      </c>
      <c r="Q236" s="7" t="b">
        <v>1</v>
      </c>
      <c r="R236" s="7" t="s">
        <v>3558</v>
      </c>
      <c r="S236" s="7" t="s">
        <v>329</v>
      </c>
      <c r="T236" s="7" t="s">
        <v>4093</v>
      </c>
    </row>
    <row r="237">
      <c r="A237" s="7" t="s">
        <v>3047</v>
      </c>
      <c r="B237" s="7" t="s">
        <v>3048</v>
      </c>
      <c r="C237" s="7" t="s">
        <v>3020</v>
      </c>
      <c r="D237" s="7" t="s">
        <v>3049</v>
      </c>
      <c r="E237" s="7" t="s">
        <v>3851</v>
      </c>
      <c r="F237" s="7" t="s">
        <v>3852</v>
      </c>
      <c r="G237" s="7" t="s">
        <v>4076</v>
      </c>
      <c r="H237" s="7" t="s">
        <v>3853</v>
      </c>
      <c r="I237" s="7" t="s">
        <v>4077</v>
      </c>
      <c r="J237" s="7" t="s">
        <v>2528</v>
      </c>
      <c r="K237" s="7" t="str">
        <f>IFERROR(__xludf.DUMMYFUNCTION("IF(E237="""","""",TEXTJOIN(""|"",TRUE,FILTER('29_FUNCTION_STANDARD_MAP'!A$2:A$43,ISNUMBER(SEARCH(""|""&amp;E237&amp;""|"",""|""&amp;'29_FUNCTION_STANDARD_MAP'!E$2:E$43&amp;""|"")))))"),"F-TPERKAPALAN-01|F-TPERKAPALAN-02|F-TMESIN-01|F-TMESIN-02|F-TELEKTRO-01|F-TELEKTRO-02|F-TSIPIL-01|F-TSIPIL-02|F-ADMNIAGA-01|F-ADMNIAGA-02|F-TINFORMATIKA-01|F-TINFORMATIKA-02|F-KEMARITIMAN-01|F-KEMARITIMAN-02|F-BAHASA-01|F-BAHASA-02")</f>
        <v>F-TPERKAPALAN-01|F-TPERKAPALAN-02|F-TMESIN-01|F-TMESIN-02|F-TELEKTRO-01|F-TELEKTRO-02|F-TSIPIL-01|F-TSIPIL-02|F-ADMNIAGA-01|F-ADMNIAGA-02|F-TINFORMATIKA-01|F-TINFORMATIKA-02|F-KEMARITIMAN-01|F-KEMARITIMAN-02|F-BAHASA-01|F-BAHASA-02</v>
      </c>
      <c r="L237" s="7" t="str">
        <f>IFERROR(__xludf.DUMMYFUNCTION("IF(E237="""","""",TEXTJOIN(""|"",TRUE,UNIQUE(FILTER('29_FUNCTION_STANDARD_MAP'!B$2:B$43,ISNUMBER(SEARCH(""|""&amp;E237&amp;""|"",""|""&amp;'29_FUNCTION_STANDARD_MAP'!E$2:E$43&amp;""|""))))))"),"JUR_TPERKAPALAN|JUR_TMESIN|JUR_TELEKTRO|JUR_TSIPIL|JUR_ADMNIAGA|JUR_TINFORMATIKA|JUR_KEMARITIMAN|JUR_BAHASA")</f>
        <v>JUR_TPERKAPALAN|JUR_TMESIN|JUR_TELEKTRO|JUR_TSIPIL|JUR_ADMNIAGA|JUR_TINFORMATIKA|JUR_KEMARITIMAN|JUR_BAHASA</v>
      </c>
      <c r="M237" s="7" t="s">
        <v>1420</v>
      </c>
      <c r="N237" s="7" t="s">
        <v>2692</v>
      </c>
      <c r="O237" s="7" t="s">
        <v>1465</v>
      </c>
      <c r="P237" s="7">
        <v>2.0</v>
      </c>
      <c r="Q237" s="7" t="b">
        <v>1</v>
      </c>
      <c r="R237" s="7" t="s">
        <v>3558</v>
      </c>
      <c r="S237" s="7" t="s">
        <v>329</v>
      </c>
      <c r="T237" s="7" t="s">
        <v>4093</v>
      </c>
    </row>
    <row r="238">
      <c r="A238" s="7" t="s">
        <v>3050</v>
      </c>
      <c r="B238" s="7" t="s">
        <v>3051</v>
      </c>
      <c r="C238" s="7" t="s">
        <v>3020</v>
      </c>
      <c r="D238" s="7" t="s">
        <v>3052</v>
      </c>
      <c r="E238" s="7" t="s">
        <v>3851</v>
      </c>
      <c r="F238" s="7" t="s">
        <v>3852</v>
      </c>
      <c r="G238" s="7" t="s">
        <v>4076</v>
      </c>
      <c r="H238" s="7" t="s">
        <v>3853</v>
      </c>
      <c r="I238" s="7" t="s">
        <v>4077</v>
      </c>
      <c r="J238" s="7" t="s">
        <v>3053</v>
      </c>
      <c r="K238" s="7" t="str">
        <f>IFERROR(__xludf.DUMMYFUNCTION("IF(E238="""","""",TEXTJOIN(""|"",TRUE,FILTER('29_FUNCTION_STANDARD_MAP'!A$2:A$43,ISNUMBER(SEARCH(""|""&amp;E238&amp;""|"",""|""&amp;'29_FUNCTION_STANDARD_MAP'!E$2:E$43&amp;""|"")))))"),"F-TPERKAPALAN-01|F-TPERKAPALAN-02|F-TMESIN-01|F-TMESIN-02|F-TELEKTRO-01|F-TELEKTRO-02|F-TSIPIL-01|F-TSIPIL-02|F-ADMNIAGA-01|F-ADMNIAGA-02|F-TINFORMATIKA-01|F-TINFORMATIKA-02|F-KEMARITIMAN-01|F-KEMARITIMAN-02|F-BAHASA-01|F-BAHASA-02")</f>
        <v>F-TPERKAPALAN-01|F-TPERKAPALAN-02|F-TMESIN-01|F-TMESIN-02|F-TELEKTRO-01|F-TELEKTRO-02|F-TSIPIL-01|F-TSIPIL-02|F-ADMNIAGA-01|F-ADMNIAGA-02|F-TINFORMATIKA-01|F-TINFORMATIKA-02|F-KEMARITIMAN-01|F-KEMARITIMAN-02|F-BAHASA-01|F-BAHASA-02</v>
      </c>
      <c r="L238" s="7" t="str">
        <f>IFERROR(__xludf.DUMMYFUNCTION("IF(E238="""","""",TEXTJOIN(""|"",TRUE,UNIQUE(FILTER('29_FUNCTION_STANDARD_MAP'!B$2:B$43,ISNUMBER(SEARCH(""|""&amp;E238&amp;""|"",""|""&amp;'29_FUNCTION_STANDARD_MAP'!E$2:E$43&amp;""|""))))))"),"JUR_TPERKAPALAN|JUR_TMESIN|JUR_TELEKTRO|JUR_TSIPIL|JUR_ADMNIAGA|JUR_TINFORMATIKA|JUR_KEMARITIMAN|JUR_BAHASA")</f>
        <v>JUR_TPERKAPALAN|JUR_TMESIN|JUR_TELEKTRO|JUR_TSIPIL|JUR_ADMNIAGA|JUR_TINFORMATIKA|JUR_KEMARITIMAN|JUR_BAHASA</v>
      </c>
      <c r="M238" s="7" t="s">
        <v>1420</v>
      </c>
      <c r="N238" s="7" t="s">
        <v>3054</v>
      </c>
      <c r="O238" s="7" t="s">
        <v>1465</v>
      </c>
      <c r="P238" s="7">
        <v>2.0</v>
      </c>
      <c r="Q238" s="7" t="b">
        <v>1</v>
      </c>
      <c r="R238" s="7" t="s">
        <v>3558</v>
      </c>
      <c r="S238" s="7" t="s">
        <v>329</v>
      </c>
      <c r="T238" s="7" t="s">
        <v>4093</v>
      </c>
    </row>
    <row r="239">
      <c r="A239" s="7" t="s">
        <v>3055</v>
      </c>
      <c r="B239" s="7" t="s">
        <v>3056</v>
      </c>
      <c r="C239" s="7" t="s">
        <v>3020</v>
      </c>
      <c r="D239" s="7" t="s">
        <v>3057</v>
      </c>
      <c r="E239" s="7" t="s">
        <v>3851</v>
      </c>
      <c r="F239" s="7" t="s">
        <v>3852</v>
      </c>
      <c r="G239" s="7" t="s">
        <v>4076</v>
      </c>
      <c r="H239" s="7" t="s">
        <v>3853</v>
      </c>
      <c r="I239" s="7" t="s">
        <v>4077</v>
      </c>
      <c r="J239" s="7" t="s">
        <v>3058</v>
      </c>
      <c r="K239" s="7" t="str">
        <f>IFERROR(__xludf.DUMMYFUNCTION("IF(E239="""","""",TEXTJOIN(""|"",TRUE,FILTER('29_FUNCTION_STANDARD_MAP'!A$2:A$43,ISNUMBER(SEARCH(""|""&amp;E239&amp;""|"",""|""&amp;'29_FUNCTION_STANDARD_MAP'!E$2:E$43&amp;""|"")))))"),"F-TPERKAPALAN-01|F-TPERKAPALAN-02|F-TMESIN-01|F-TMESIN-02|F-TELEKTRO-01|F-TELEKTRO-02|F-TSIPIL-01|F-TSIPIL-02|F-ADMNIAGA-01|F-ADMNIAGA-02|F-TINFORMATIKA-01|F-TINFORMATIKA-02|F-KEMARITIMAN-01|F-KEMARITIMAN-02|F-BAHASA-01|F-BAHASA-02")</f>
        <v>F-TPERKAPALAN-01|F-TPERKAPALAN-02|F-TMESIN-01|F-TMESIN-02|F-TELEKTRO-01|F-TELEKTRO-02|F-TSIPIL-01|F-TSIPIL-02|F-ADMNIAGA-01|F-ADMNIAGA-02|F-TINFORMATIKA-01|F-TINFORMATIKA-02|F-KEMARITIMAN-01|F-KEMARITIMAN-02|F-BAHASA-01|F-BAHASA-02</v>
      </c>
      <c r="L239" s="7" t="str">
        <f>IFERROR(__xludf.DUMMYFUNCTION("IF(E239="""","""",TEXTJOIN(""|"",TRUE,UNIQUE(FILTER('29_FUNCTION_STANDARD_MAP'!B$2:B$43,ISNUMBER(SEARCH(""|""&amp;E239&amp;""|"",""|""&amp;'29_FUNCTION_STANDARD_MAP'!E$2:E$43&amp;""|""))))))"),"JUR_TPERKAPALAN|JUR_TMESIN|JUR_TELEKTRO|JUR_TSIPIL|JUR_ADMNIAGA|JUR_TINFORMATIKA|JUR_KEMARITIMAN|JUR_BAHASA")</f>
        <v>JUR_TPERKAPALAN|JUR_TMESIN|JUR_TELEKTRO|JUR_TSIPIL|JUR_ADMNIAGA|JUR_TINFORMATIKA|JUR_KEMARITIMAN|JUR_BAHASA</v>
      </c>
      <c r="M239" s="7" t="s">
        <v>1420</v>
      </c>
      <c r="N239" s="7" t="s">
        <v>3059</v>
      </c>
      <c r="O239" s="7" t="s">
        <v>1465</v>
      </c>
      <c r="P239" s="7">
        <v>2.0</v>
      </c>
      <c r="Q239" s="7" t="b">
        <v>1</v>
      </c>
      <c r="R239" s="7" t="s">
        <v>3558</v>
      </c>
      <c r="S239" s="7" t="s">
        <v>329</v>
      </c>
      <c r="T239" s="7" t="s">
        <v>4093</v>
      </c>
    </row>
    <row r="240">
      <c r="A240" s="7" t="s">
        <v>3060</v>
      </c>
      <c r="B240" s="7" t="s">
        <v>3061</v>
      </c>
      <c r="C240" s="7" t="s">
        <v>1387</v>
      </c>
      <c r="D240" s="7" t="s">
        <v>3062</v>
      </c>
      <c r="E240" s="7" t="s">
        <v>3864</v>
      </c>
      <c r="F240" s="7" t="s">
        <v>3865</v>
      </c>
      <c r="G240" s="7" t="s">
        <v>4081</v>
      </c>
      <c r="H240" s="7" t="s">
        <v>3866</v>
      </c>
      <c r="I240" s="7" t="s">
        <v>4082</v>
      </c>
      <c r="J240" s="7" t="s">
        <v>3063</v>
      </c>
      <c r="K240" s="7" t="str">
        <f>IFERROR(__xludf.DUMMYFUNCTION("IF(E240="""","""",TEXTJOIN(""|"",TRUE,FILTER('29_FUNCTION_STANDARD_MAP'!A$2:A$43,ISNUMBER(SEARCH(""|""&amp;E240&amp;""|"",""|""&amp;'29_FUNCTION_STANDARD_MAP'!E$2:E$43&amp;""|"")))))"),"F-SPI-01|F-SPI-02")</f>
        <v>F-SPI-01|F-SPI-02</v>
      </c>
      <c r="L240" s="7" t="str">
        <f>IFERROR(__xludf.DUMMYFUNCTION("IF(E240="""","""",TEXTJOIN(""|"",TRUE,UNIQUE(FILTER('29_FUNCTION_STANDARD_MAP'!B$2:B$43,ISNUMBER(SEARCH(""|""&amp;E240&amp;""|"",""|""&amp;'29_FUNCTION_STANDARD_MAP'!E$2:E$43&amp;""|""))))))"),"SPI")</f>
        <v>SPI</v>
      </c>
      <c r="M240" s="7" t="s">
        <v>1387</v>
      </c>
      <c r="N240" s="7" t="s">
        <v>3064</v>
      </c>
      <c r="O240" s="7" t="s">
        <v>1452</v>
      </c>
      <c r="P240" s="7">
        <v>3.0</v>
      </c>
      <c r="Q240" s="7" t="b">
        <v>1</v>
      </c>
      <c r="R240" s="7" t="s">
        <v>3558</v>
      </c>
      <c r="S240" s="7" t="s">
        <v>329</v>
      </c>
      <c r="T240" s="7" t="s">
        <v>4093</v>
      </c>
    </row>
    <row r="241">
      <c r="A241" s="7" t="s">
        <v>3065</v>
      </c>
      <c r="B241" s="7" t="s">
        <v>3066</v>
      </c>
      <c r="C241" s="7" t="s">
        <v>1387</v>
      </c>
      <c r="D241" s="7" t="s">
        <v>3067</v>
      </c>
      <c r="E241" s="7" t="s">
        <v>3864</v>
      </c>
      <c r="F241" s="7" t="s">
        <v>3865</v>
      </c>
      <c r="G241" s="7" t="s">
        <v>4081</v>
      </c>
      <c r="H241" s="7" t="s">
        <v>3866</v>
      </c>
      <c r="I241" s="7" t="s">
        <v>4082</v>
      </c>
      <c r="J241" s="7">
        <v>9.2</v>
      </c>
      <c r="K241" s="7" t="str">
        <f>IFERROR(__xludf.DUMMYFUNCTION("IF(E241="""","""",TEXTJOIN(""|"",TRUE,FILTER('29_FUNCTION_STANDARD_MAP'!A$2:A$43,ISNUMBER(SEARCH(""|""&amp;E241&amp;""|"",""|""&amp;'29_FUNCTION_STANDARD_MAP'!E$2:E$43&amp;""|"")))))"),"F-SPI-01|F-SPI-02")</f>
        <v>F-SPI-01|F-SPI-02</v>
      </c>
      <c r="L241" s="7" t="str">
        <f>IFERROR(__xludf.DUMMYFUNCTION("IF(E241="""","""",TEXTJOIN(""|"",TRUE,UNIQUE(FILTER('29_FUNCTION_STANDARD_MAP'!B$2:B$43,ISNUMBER(SEARCH(""|""&amp;E241&amp;""|"",""|""&amp;'29_FUNCTION_STANDARD_MAP'!E$2:E$43&amp;""|""))))))"),"SPI")</f>
        <v>SPI</v>
      </c>
      <c r="M241" s="7" t="s">
        <v>1387</v>
      </c>
      <c r="N241" s="7" t="s">
        <v>3068</v>
      </c>
      <c r="O241" s="7" t="s">
        <v>1452</v>
      </c>
      <c r="P241" s="7">
        <v>3.0</v>
      </c>
      <c r="Q241" s="7" t="b">
        <v>1</v>
      </c>
      <c r="R241" s="7" t="s">
        <v>3558</v>
      </c>
      <c r="S241" s="7" t="s">
        <v>329</v>
      </c>
      <c r="T241" s="7" t="s">
        <v>4093</v>
      </c>
    </row>
    <row r="242">
      <c r="A242" s="7" t="s">
        <v>3069</v>
      </c>
      <c r="B242" s="7" t="s">
        <v>3070</v>
      </c>
      <c r="C242" s="7" t="s">
        <v>1387</v>
      </c>
      <c r="D242" s="7" t="s">
        <v>3071</v>
      </c>
      <c r="E242" s="7" t="s">
        <v>3864</v>
      </c>
      <c r="F242" s="7" t="s">
        <v>3865</v>
      </c>
      <c r="G242" s="7" t="s">
        <v>4081</v>
      </c>
      <c r="H242" s="7" t="s">
        <v>3866</v>
      </c>
      <c r="I242" s="7" t="s">
        <v>4082</v>
      </c>
      <c r="J242" s="7">
        <v>9.2</v>
      </c>
      <c r="K242" s="7" t="str">
        <f>IFERROR(__xludf.DUMMYFUNCTION("IF(E242="""","""",TEXTJOIN(""|"",TRUE,FILTER('29_FUNCTION_STANDARD_MAP'!A$2:A$43,ISNUMBER(SEARCH(""|""&amp;E242&amp;""|"",""|""&amp;'29_FUNCTION_STANDARD_MAP'!E$2:E$43&amp;""|"")))))"),"F-SPI-01|F-SPI-02")</f>
        <v>F-SPI-01|F-SPI-02</v>
      </c>
      <c r="L242" s="7" t="str">
        <f>IFERROR(__xludf.DUMMYFUNCTION("IF(E242="""","""",TEXTJOIN(""|"",TRUE,UNIQUE(FILTER('29_FUNCTION_STANDARD_MAP'!B$2:B$43,ISNUMBER(SEARCH(""|""&amp;E242&amp;""|"",""|""&amp;'29_FUNCTION_STANDARD_MAP'!E$2:E$43&amp;""|""))))))"),"SPI")</f>
        <v>SPI</v>
      </c>
      <c r="M242" s="7" t="s">
        <v>1387</v>
      </c>
      <c r="N242" s="7" t="s">
        <v>3072</v>
      </c>
      <c r="O242" s="7" t="s">
        <v>1452</v>
      </c>
      <c r="P242" s="7">
        <v>3.0</v>
      </c>
      <c r="Q242" s="7" t="b">
        <v>1</v>
      </c>
      <c r="R242" s="7" t="s">
        <v>3558</v>
      </c>
      <c r="S242" s="7" t="s">
        <v>329</v>
      </c>
      <c r="T242" s="7" t="s">
        <v>4093</v>
      </c>
    </row>
    <row r="243">
      <c r="A243" s="7" t="s">
        <v>3073</v>
      </c>
      <c r="B243" s="7" t="s">
        <v>3074</v>
      </c>
      <c r="C243" s="7" t="s">
        <v>1387</v>
      </c>
      <c r="D243" s="7" t="s">
        <v>3075</v>
      </c>
      <c r="E243" s="7" t="s">
        <v>3864</v>
      </c>
      <c r="F243" s="7" t="s">
        <v>3865</v>
      </c>
      <c r="G243" s="7" t="s">
        <v>4081</v>
      </c>
      <c r="H243" s="7" t="s">
        <v>3866</v>
      </c>
      <c r="I243" s="7" t="s">
        <v>4082</v>
      </c>
      <c r="J243" s="7" t="s">
        <v>3076</v>
      </c>
      <c r="K243" s="7" t="str">
        <f>IFERROR(__xludf.DUMMYFUNCTION("IF(E243="""","""",TEXTJOIN(""|"",TRUE,FILTER('29_FUNCTION_STANDARD_MAP'!A$2:A$43,ISNUMBER(SEARCH(""|""&amp;E243&amp;""|"",""|""&amp;'29_FUNCTION_STANDARD_MAP'!E$2:E$43&amp;""|"")))))"),"F-SPI-01|F-SPI-02")</f>
        <v>F-SPI-01|F-SPI-02</v>
      </c>
      <c r="L243" s="7" t="str">
        <f>IFERROR(__xludf.DUMMYFUNCTION("IF(E243="""","""",TEXTJOIN(""|"",TRUE,UNIQUE(FILTER('29_FUNCTION_STANDARD_MAP'!B$2:B$43,ISNUMBER(SEARCH(""|""&amp;E243&amp;""|"",""|""&amp;'29_FUNCTION_STANDARD_MAP'!E$2:E$43&amp;""|""))))))"),"SPI")</f>
        <v>SPI</v>
      </c>
      <c r="M243" s="7" t="s">
        <v>1387</v>
      </c>
      <c r="N243" s="7" t="s">
        <v>3077</v>
      </c>
      <c r="O243" s="7" t="s">
        <v>1452</v>
      </c>
      <c r="P243" s="7">
        <v>3.0</v>
      </c>
      <c r="Q243" s="7" t="b">
        <v>1</v>
      </c>
      <c r="R243" s="7" t="s">
        <v>3558</v>
      </c>
      <c r="S243" s="7" t="s">
        <v>329</v>
      </c>
      <c r="T243" s="7" t="s">
        <v>4093</v>
      </c>
    </row>
    <row r="244">
      <c r="A244" s="7" t="s">
        <v>3078</v>
      </c>
      <c r="B244" s="7" t="s">
        <v>3079</v>
      </c>
      <c r="C244" s="7" t="s">
        <v>1387</v>
      </c>
      <c r="D244" s="7" t="s">
        <v>3080</v>
      </c>
      <c r="E244" s="7" t="s">
        <v>3864</v>
      </c>
      <c r="F244" s="7" t="s">
        <v>3865</v>
      </c>
      <c r="G244" s="7" t="s">
        <v>4081</v>
      </c>
      <c r="H244" s="7" t="s">
        <v>3866</v>
      </c>
      <c r="I244" s="7" t="s">
        <v>4082</v>
      </c>
      <c r="J244" s="7">
        <v>9.2</v>
      </c>
      <c r="K244" s="7" t="str">
        <f>IFERROR(__xludf.DUMMYFUNCTION("IF(E244="""","""",TEXTJOIN(""|"",TRUE,FILTER('29_FUNCTION_STANDARD_MAP'!A$2:A$43,ISNUMBER(SEARCH(""|""&amp;E244&amp;""|"",""|""&amp;'29_FUNCTION_STANDARD_MAP'!E$2:E$43&amp;""|"")))))"),"F-SPI-01|F-SPI-02")</f>
        <v>F-SPI-01|F-SPI-02</v>
      </c>
      <c r="L244" s="7" t="str">
        <f>IFERROR(__xludf.DUMMYFUNCTION("IF(E244="""","""",TEXTJOIN(""|"",TRUE,UNIQUE(FILTER('29_FUNCTION_STANDARD_MAP'!B$2:B$43,ISNUMBER(SEARCH(""|""&amp;E244&amp;""|"",""|""&amp;'29_FUNCTION_STANDARD_MAP'!E$2:E$43&amp;""|""))))))"),"SPI")</f>
        <v>SPI</v>
      </c>
      <c r="M244" s="7" t="s">
        <v>1387</v>
      </c>
      <c r="N244" s="7" t="s">
        <v>3081</v>
      </c>
      <c r="O244" s="7" t="s">
        <v>1452</v>
      </c>
      <c r="P244" s="7">
        <v>3.0</v>
      </c>
      <c r="Q244" s="7" t="b">
        <v>1</v>
      </c>
      <c r="R244" s="7" t="s">
        <v>3558</v>
      </c>
      <c r="S244" s="7" t="s">
        <v>329</v>
      </c>
      <c r="T244" s="7" t="s">
        <v>4093</v>
      </c>
    </row>
    <row r="245">
      <c r="A245" s="7" t="s">
        <v>3082</v>
      </c>
      <c r="B245" s="7" t="s">
        <v>3083</v>
      </c>
      <c r="C245" s="7" t="s">
        <v>1387</v>
      </c>
      <c r="D245" s="7" t="s">
        <v>3084</v>
      </c>
      <c r="E245" s="7" t="s">
        <v>3864</v>
      </c>
      <c r="F245" s="7" t="s">
        <v>3865</v>
      </c>
      <c r="G245" s="7" t="s">
        <v>4081</v>
      </c>
      <c r="H245" s="7" t="s">
        <v>3866</v>
      </c>
      <c r="I245" s="7" t="s">
        <v>4082</v>
      </c>
      <c r="J245" s="7" t="s">
        <v>3085</v>
      </c>
      <c r="K245" s="7" t="str">
        <f>IFERROR(__xludf.DUMMYFUNCTION("IF(E245="""","""",TEXTJOIN(""|"",TRUE,FILTER('29_FUNCTION_STANDARD_MAP'!A$2:A$43,ISNUMBER(SEARCH(""|""&amp;E245&amp;""|"",""|""&amp;'29_FUNCTION_STANDARD_MAP'!E$2:E$43&amp;""|"")))))"),"F-SPI-01|F-SPI-02")</f>
        <v>F-SPI-01|F-SPI-02</v>
      </c>
      <c r="L245" s="7" t="str">
        <f>IFERROR(__xludf.DUMMYFUNCTION("IF(E245="""","""",TEXTJOIN(""|"",TRUE,UNIQUE(FILTER('29_FUNCTION_STANDARD_MAP'!B$2:B$43,ISNUMBER(SEARCH(""|""&amp;E245&amp;""|"",""|""&amp;'29_FUNCTION_STANDARD_MAP'!E$2:E$43&amp;""|""))))))"),"SPI")</f>
        <v>SPI</v>
      </c>
      <c r="M245" s="7" t="s">
        <v>1387</v>
      </c>
      <c r="N245" s="7" t="s">
        <v>2620</v>
      </c>
      <c r="O245" s="7" t="s">
        <v>1452</v>
      </c>
      <c r="P245" s="7">
        <v>3.0</v>
      </c>
      <c r="Q245" s="7" t="b">
        <v>1</v>
      </c>
      <c r="R245" s="7" t="s">
        <v>3558</v>
      </c>
      <c r="S245" s="7" t="s">
        <v>329</v>
      </c>
      <c r="T245" s="7" t="s">
        <v>4093</v>
      </c>
    </row>
    <row r="246">
      <c r="A246" s="7" t="s">
        <v>3086</v>
      </c>
      <c r="B246" s="7" t="s">
        <v>3087</v>
      </c>
      <c r="C246" s="7" t="s">
        <v>1387</v>
      </c>
      <c r="D246" s="7" t="s">
        <v>3088</v>
      </c>
      <c r="E246" s="7" t="s">
        <v>3864</v>
      </c>
      <c r="F246" s="7" t="s">
        <v>3865</v>
      </c>
      <c r="G246" s="7" t="s">
        <v>4081</v>
      </c>
      <c r="H246" s="7" t="s">
        <v>3866</v>
      </c>
      <c r="I246" s="7" t="s">
        <v>4082</v>
      </c>
      <c r="J246" s="7" t="s">
        <v>3089</v>
      </c>
      <c r="K246" s="7" t="str">
        <f>IFERROR(__xludf.DUMMYFUNCTION("IF(E246="""","""",TEXTJOIN(""|"",TRUE,FILTER('29_FUNCTION_STANDARD_MAP'!A$2:A$43,ISNUMBER(SEARCH(""|""&amp;E246&amp;""|"",""|""&amp;'29_FUNCTION_STANDARD_MAP'!E$2:E$43&amp;""|"")))))"),"F-SPI-01|F-SPI-02")</f>
        <v>F-SPI-01|F-SPI-02</v>
      </c>
      <c r="L246" s="7" t="str">
        <f>IFERROR(__xludf.DUMMYFUNCTION("IF(E246="""","""",TEXTJOIN(""|"",TRUE,UNIQUE(FILTER('29_FUNCTION_STANDARD_MAP'!B$2:B$43,ISNUMBER(SEARCH(""|""&amp;E246&amp;""|"",""|""&amp;'29_FUNCTION_STANDARD_MAP'!E$2:E$43&amp;""|""))))))"),"SPI")</f>
        <v>SPI</v>
      </c>
      <c r="M246" s="7" t="s">
        <v>1387</v>
      </c>
      <c r="N246" s="7" t="s">
        <v>3090</v>
      </c>
      <c r="O246" s="7" t="s">
        <v>1452</v>
      </c>
      <c r="P246" s="7">
        <v>3.0</v>
      </c>
      <c r="Q246" s="7" t="b">
        <v>1</v>
      </c>
      <c r="R246" s="7" t="s">
        <v>3558</v>
      </c>
      <c r="S246" s="7" t="s">
        <v>329</v>
      </c>
      <c r="T246" s="7" t="s">
        <v>4093</v>
      </c>
    </row>
    <row r="247">
      <c r="A247" s="7" t="s">
        <v>3091</v>
      </c>
      <c r="B247" s="7" t="s">
        <v>3092</v>
      </c>
      <c r="C247" s="7" t="s">
        <v>1387</v>
      </c>
      <c r="D247" s="7" t="s">
        <v>3093</v>
      </c>
      <c r="E247" s="7" t="s">
        <v>3864</v>
      </c>
      <c r="F247" s="7" t="s">
        <v>3865</v>
      </c>
      <c r="G247" s="7" t="s">
        <v>4081</v>
      </c>
      <c r="H247" s="7" t="s">
        <v>3866</v>
      </c>
      <c r="I247" s="7" t="s">
        <v>4082</v>
      </c>
      <c r="J247" s="7">
        <v>10.2</v>
      </c>
      <c r="K247" s="7" t="str">
        <f>IFERROR(__xludf.DUMMYFUNCTION("IF(E247="""","""",TEXTJOIN(""|"",TRUE,FILTER('29_FUNCTION_STANDARD_MAP'!A$2:A$43,ISNUMBER(SEARCH(""|""&amp;E247&amp;""|"",""|""&amp;'29_FUNCTION_STANDARD_MAP'!E$2:E$43&amp;""|"")))))"),"F-SPI-01|F-SPI-02")</f>
        <v>F-SPI-01|F-SPI-02</v>
      </c>
      <c r="L247" s="7" t="str">
        <f>IFERROR(__xludf.DUMMYFUNCTION("IF(E247="""","""",TEXTJOIN(""|"",TRUE,UNIQUE(FILTER('29_FUNCTION_STANDARD_MAP'!B$2:B$43,ISNUMBER(SEARCH(""|""&amp;E247&amp;""|"",""|""&amp;'29_FUNCTION_STANDARD_MAP'!E$2:E$43&amp;""|""))))))"),"SPI")</f>
        <v>SPI</v>
      </c>
      <c r="M247" s="7" t="s">
        <v>1387</v>
      </c>
      <c r="N247" s="7" t="s">
        <v>3094</v>
      </c>
      <c r="O247" s="7" t="s">
        <v>1452</v>
      </c>
      <c r="P247" s="7">
        <v>3.0</v>
      </c>
      <c r="Q247" s="7" t="b">
        <v>1</v>
      </c>
      <c r="R247" s="7" t="s">
        <v>3558</v>
      </c>
      <c r="S247" s="7" t="s">
        <v>329</v>
      </c>
      <c r="T247" s="7" t="s">
        <v>4093</v>
      </c>
    </row>
    <row r="248">
      <c r="A248" s="7" t="s">
        <v>3095</v>
      </c>
      <c r="B248" s="7" t="s">
        <v>3096</v>
      </c>
      <c r="C248" s="7" t="s">
        <v>1387</v>
      </c>
      <c r="D248" s="7" t="s">
        <v>3097</v>
      </c>
      <c r="E248" s="7" t="s">
        <v>3864</v>
      </c>
      <c r="F248" s="7" t="s">
        <v>3865</v>
      </c>
      <c r="G248" s="7" t="s">
        <v>4081</v>
      </c>
      <c r="H248" s="7" t="s">
        <v>3866</v>
      </c>
      <c r="I248" s="7" t="s">
        <v>4082</v>
      </c>
      <c r="J248" s="7">
        <v>10.2</v>
      </c>
      <c r="K248" s="7" t="str">
        <f>IFERROR(__xludf.DUMMYFUNCTION("IF(E248="""","""",TEXTJOIN(""|"",TRUE,FILTER('29_FUNCTION_STANDARD_MAP'!A$2:A$43,ISNUMBER(SEARCH(""|""&amp;E248&amp;""|"",""|""&amp;'29_FUNCTION_STANDARD_MAP'!E$2:E$43&amp;""|"")))))"),"F-SPI-01|F-SPI-02")</f>
        <v>F-SPI-01|F-SPI-02</v>
      </c>
      <c r="L248" s="7" t="str">
        <f>IFERROR(__xludf.DUMMYFUNCTION("IF(E248="""","""",TEXTJOIN(""|"",TRUE,UNIQUE(FILTER('29_FUNCTION_STANDARD_MAP'!B$2:B$43,ISNUMBER(SEARCH(""|""&amp;E248&amp;""|"",""|""&amp;'29_FUNCTION_STANDARD_MAP'!E$2:E$43&amp;""|""))))))"),"SPI")</f>
        <v>SPI</v>
      </c>
      <c r="M248" s="7" t="s">
        <v>1387</v>
      </c>
      <c r="N248" s="7" t="s">
        <v>3098</v>
      </c>
      <c r="O248" s="7" t="s">
        <v>1452</v>
      </c>
      <c r="P248" s="7">
        <v>3.0</v>
      </c>
      <c r="Q248" s="7" t="b">
        <v>1</v>
      </c>
      <c r="R248" s="7" t="s">
        <v>3558</v>
      </c>
      <c r="S248" s="7" t="s">
        <v>329</v>
      </c>
      <c r="T248" s="7" t="s">
        <v>4093</v>
      </c>
    </row>
    <row r="249">
      <c r="A249" s="7" t="s">
        <v>3099</v>
      </c>
      <c r="B249" s="7" t="s">
        <v>3100</v>
      </c>
      <c r="C249" s="7" t="s">
        <v>1387</v>
      </c>
      <c r="D249" s="7" t="s">
        <v>3101</v>
      </c>
      <c r="E249" s="7" t="s">
        <v>3864</v>
      </c>
      <c r="F249" s="7" t="s">
        <v>3865</v>
      </c>
      <c r="G249" s="7" t="s">
        <v>4081</v>
      </c>
      <c r="H249" s="7" t="s">
        <v>3866</v>
      </c>
      <c r="I249" s="7" t="s">
        <v>4082</v>
      </c>
      <c r="J249" s="7" t="s">
        <v>3102</v>
      </c>
      <c r="K249" s="7" t="str">
        <f>IFERROR(__xludf.DUMMYFUNCTION("IF(E249="""","""",TEXTJOIN(""|"",TRUE,FILTER('29_FUNCTION_STANDARD_MAP'!A$2:A$43,ISNUMBER(SEARCH(""|""&amp;E249&amp;""|"",""|""&amp;'29_FUNCTION_STANDARD_MAP'!E$2:E$43&amp;""|"")))))"),"F-SPI-01|F-SPI-02")</f>
        <v>F-SPI-01|F-SPI-02</v>
      </c>
      <c r="L249" s="7" t="str">
        <f>IFERROR(__xludf.DUMMYFUNCTION("IF(E249="""","""",TEXTJOIN(""|"",TRUE,UNIQUE(FILTER('29_FUNCTION_STANDARD_MAP'!B$2:B$43,ISNUMBER(SEARCH(""|""&amp;E249&amp;""|"",""|""&amp;'29_FUNCTION_STANDARD_MAP'!E$2:E$43&amp;""|""))))))"),"SPI")</f>
        <v>SPI</v>
      </c>
      <c r="M249" s="7" t="s">
        <v>1387</v>
      </c>
      <c r="N249" s="7" t="s">
        <v>3010</v>
      </c>
      <c r="O249" s="7" t="s">
        <v>1452</v>
      </c>
      <c r="P249" s="7">
        <v>3.0</v>
      </c>
      <c r="Q249" s="7" t="b">
        <v>1</v>
      </c>
      <c r="R249" s="7" t="s">
        <v>3558</v>
      </c>
      <c r="S249" s="7" t="s">
        <v>329</v>
      </c>
      <c r="T249" s="7" t="s">
        <v>4093</v>
      </c>
    </row>
    <row r="250">
      <c r="A250" s="7" t="s">
        <v>3103</v>
      </c>
      <c r="B250" s="7" t="s">
        <v>3104</v>
      </c>
      <c r="C250" s="7" t="s">
        <v>1387</v>
      </c>
      <c r="D250" s="7" t="s">
        <v>3105</v>
      </c>
      <c r="E250" s="7" t="s">
        <v>3864</v>
      </c>
      <c r="F250" s="7" t="s">
        <v>3865</v>
      </c>
      <c r="G250" s="7" t="s">
        <v>4081</v>
      </c>
      <c r="H250" s="7" t="s">
        <v>3866</v>
      </c>
      <c r="I250" s="7" t="s">
        <v>4082</v>
      </c>
      <c r="J250" s="7" t="s">
        <v>1701</v>
      </c>
      <c r="K250" s="7" t="str">
        <f>IFERROR(__xludf.DUMMYFUNCTION("IF(E250="""","""",TEXTJOIN(""|"",TRUE,FILTER('29_FUNCTION_STANDARD_MAP'!A$2:A$43,ISNUMBER(SEARCH(""|""&amp;E250&amp;""|"",""|""&amp;'29_FUNCTION_STANDARD_MAP'!E$2:E$43&amp;""|"")))))"),"F-SPI-01|F-SPI-02")</f>
        <v>F-SPI-01|F-SPI-02</v>
      </c>
      <c r="L250" s="7" t="str">
        <f>IFERROR(__xludf.DUMMYFUNCTION("IF(E250="""","""",TEXTJOIN(""|"",TRUE,UNIQUE(FILTER('29_FUNCTION_STANDARD_MAP'!B$2:B$43,ISNUMBER(SEARCH(""|""&amp;E250&amp;""|"",""|""&amp;'29_FUNCTION_STANDARD_MAP'!E$2:E$43&amp;""|""))))))"),"SPI")</f>
        <v>SPI</v>
      </c>
      <c r="M250" s="7" t="s">
        <v>1387</v>
      </c>
      <c r="N250" s="7" t="s">
        <v>2408</v>
      </c>
      <c r="O250" s="7" t="s">
        <v>1452</v>
      </c>
      <c r="P250" s="7">
        <v>3.0</v>
      </c>
      <c r="Q250" s="7" t="b">
        <v>1</v>
      </c>
      <c r="R250" s="7" t="s">
        <v>3558</v>
      </c>
      <c r="S250" s="7" t="s">
        <v>329</v>
      </c>
      <c r="T250" s="7" t="s">
        <v>4093</v>
      </c>
    </row>
    <row r="251">
      <c r="A251" s="7" t="s">
        <v>3106</v>
      </c>
      <c r="B251" s="7" t="s">
        <v>3107</v>
      </c>
      <c r="C251" s="7" t="s">
        <v>1387</v>
      </c>
      <c r="D251" s="7" t="s">
        <v>3108</v>
      </c>
      <c r="E251" s="7" t="s">
        <v>3864</v>
      </c>
      <c r="F251" s="7" t="s">
        <v>3865</v>
      </c>
      <c r="G251" s="7" t="s">
        <v>4081</v>
      </c>
      <c r="H251" s="7" t="s">
        <v>3866</v>
      </c>
      <c r="I251" s="7" t="s">
        <v>4082</v>
      </c>
      <c r="J251" s="7" t="s">
        <v>2158</v>
      </c>
      <c r="K251" s="7" t="str">
        <f>IFERROR(__xludf.DUMMYFUNCTION("IF(E251="""","""",TEXTJOIN(""|"",TRUE,FILTER('29_FUNCTION_STANDARD_MAP'!A$2:A$43,ISNUMBER(SEARCH(""|""&amp;E251&amp;""|"",""|""&amp;'29_FUNCTION_STANDARD_MAP'!E$2:E$43&amp;""|"")))))"),"F-SPI-01|F-SPI-02")</f>
        <v>F-SPI-01|F-SPI-02</v>
      </c>
      <c r="L251" s="7" t="str">
        <f>IFERROR(__xludf.DUMMYFUNCTION("IF(E251="""","""",TEXTJOIN(""|"",TRUE,UNIQUE(FILTER('29_FUNCTION_STANDARD_MAP'!B$2:B$43,ISNUMBER(SEARCH(""|""&amp;E251&amp;""|"",""|""&amp;'29_FUNCTION_STANDARD_MAP'!E$2:E$43&amp;""|""))))))"),"SPI")</f>
        <v>SPI</v>
      </c>
      <c r="M251" s="7" t="s">
        <v>1387</v>
      </c>
      <c r="N251" s="7" t="s">
        <v>3109</v>
      </c>
      <c r="O251" s="7" t="s">
        <v>1452</v>
      </c>
      <c r="P251" s="7">
        <v>3.0</v>
      </c>
      <c r="Q251" s="7" t="b">
        <v>1</v>
      </c>
      <c r="R251" s="7" t="s">
        <v>3558</v>
      </c>
      <c r="S251" s="7" t="s">
        <v>329</v>
      </c>
      <c r="T251" s="7" t="s">
        <v>4093</v>
      </c>
    </row>
  </sheetData>
  <autoFilter ref="$A$1:$T$251"/>
  <drawing r:id="rId1"/>
</worksheet>
</file>